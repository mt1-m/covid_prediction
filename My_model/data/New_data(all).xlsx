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33.68.119.94\share\情報工学生\matsumoto\コロナ予測まとめ\"/>
    </mc:Choice>
  </mc:AlternateContent>
  <xr:revisionPtr revIDLastSave="0" documentId="13_ncr:1_{3D057818-0E91-41AC-9C20-78E52343CC4D}" xr6:coauthVersionLast="36" xr6:coauthVersionMax="36" xr10:uidLastSave="{00000000-0000-0000-0000-000000000000}"/>
  <bookViews>
    <workbookView xWindow="0" yWindow="0" windowWidth="12420" windowHeight="9615" activeTab="2" xr2:uid="{00000000-000D-0000-FFFF-FFFF00000000}"/>
  </bookViews>
  <sheets>
    <sheet name="Past" sheetId="5" r:id="rId1"/>
    <sheet name="Training" sheetId="1" r:id="rId2"/>
    <sheet name="Testing" sheetId="2" r:id="rId3"/>
  </sheets>
  <calcPr calcId="191029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4" i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5" i="2"/>
  <c r="I6" i="2"/>
  <c r="I7" i="2"/>
  <c r="I8" i="2"/>
  <c r="I9" i="2"/>
  <c r="I4" i="2"/>
  <c r="H21" i="5" l="1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</calcChain>
</file>

<file path=xl/sharedStrings.xml><?xml version="1.0" encoding="utf-8"?>
<sst xmlns="http://schemas.openxmlformats.org/spreadsheetml/2006/main" count="52" uniqueCount="5">
  <si>
    <t>Date</t>
  </si>
  <si>
    <t>Input</t>
  </si>
  <si>
    <t>output</t>
  </si>
  <si>
    <t>?</t>
  </si>
  <si>
    <t>inf_dif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</si>
</sst>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/yyyy"/>
    <numFmt numFmtId="177" formatCode="0.000_);[Red]\(0.000\)"/>
    <numFmt numFmtId="178" formatCode="0.0"/>
    <numFmt numFmtId="179" formatCode="0_);[Red]\(0\)"/>
  </numFmts>
  <fonts count="3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0"/>
      <name val="Calibri"/>
      <family val="2"/>
      <charset val="1"/>
    </font>
    <font>
      <sz val="6"/>
      <name val="游ゴシック"/>
      <family val="2"/>
      <charset val="128"/>
      <scheme val="minor"/>
    </font>
    <font>
      <sz val="11"/>
      <color theme="1"/>
      <name val="Cambria"/>
      <family val="1"/>
    </font>
    <font>
      <sz val="11"/>
      <color theme="1"/>
      <name val="游ゴシック"/>
      <family val="2"/>
      <scheme val="minor"/>
    </font>
    <font>
      <b/>
      <sz val="11"/>
      <color theme="0"/>
      <name val="Cambria"/>
      <family val="1"/>
    </font>
    <font>
      <b/>
      <sz val="11"/>
      <color theme="0"/>
      <name val="Calibri"/>
      <family val="2"/>
    </font>
    <font>
      <sz val="11"/>
      <color theme="1"/>
      <name val="游ゴシック"/>
      <family val="2"/>
      <charset val="128"/>
      <scheme val="minor"/>
    </font>
    <font>
      <sz val="11"/>
      <color rgb="FF000000"/>
      <name val="Noto Sans CJK JP"/>
      <family val="2"/>
      <charset val="1"/>
    </font>
    <font>
      <sz val="11"/>
      <color rgb="FF000000"/>
      <name val="Yu Gothic"/>
      <family val="2"/>
      <charset val="128"/>
    </font>
    <font>
      <sz val="11"/>
      <color rgb="FF000000"/>
      <name val="Calibri"/>
      <family val="2"/>
      <charset val="1"/>
    </font>
    <font>
      <sz val="11"/>
      <color indexed="8"/>
      <name val="游ゴシック"/>
      <family val="2"/>
      <scheme val="minor"/>
    </font>
    <font>
      <sz val="11"/>
      <color rgb="FF000000"/>
      <name val="游ゴシック"/>
      <family val="2"/>
      <charset val="128"/>
    </font>
    <font>
      <sz val="11"/>
      <name val="游ゴシック"/>
      <family val="2"/>
      <charset val="1"/>
    </font>
    <font>
      <sz val="11"/>
      <color rgb="FF000000"/>
      <name val="游ゴシック"/>
      <family val="2"/>
      <charset val="1"/>
    </font>
    <font>
      <sz val="10"/>
      <name val="Noto Sans CJK JP"/>
      <family val="2"/>
      <charset val="1"/>
    </font>
    <font>
      <sz val="9"/>
      <color theme="1"/>
      <name val="游ゴシック"/>
      <family val="3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rgb="FF000000"/>
      <name val="Calibri"/>
      <family val="2"/>
      <charset val="1"/>
    </font>
    <font>
      <sz val="11"/>
      <name val="游ゴシック"/>
      <family val="3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rgb="FFFFFFFF"/>
      </patternFill>
    </fill>
    <fill>
      <patternFill patternType="solid">
        <fgColor rgb="FFD9D9D9"/>
        <bgColor rgb="FFDE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/>
      </left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6">
    <xf numFmtId="0" fontId="0" fillId="0" borderId="0">
      <alignment vertical="center"/>
    </xf>
    <xf numFmtId="0" fontId="5" fillId="0" borderId="0"/>
    <xf numFmtId="0" fontId="9" fillId="0" borderId="0"/>
    <xf numFmtId="0" fontId="10" fillId="0" borderId="0">
      <alignment vertical="center"/>
    </xf>
    <xf numFmtId="0" fontId="8" fillId="0" borderId="0">
      <alignment vertical="center"/>
    </xf>
    <xf numFmtId="0" fontId="1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4" borderId="3"/>
    <xf numFmtId="0" fontId="13" fillId="0" borderId="0">
      <alignment vertical="center"/>
    </xf>
    <xf numFmtId="0" fontId="14" fillId="0" borderId="0">
      <alignment vertical="center"/>
    </xf>
    <xf numFmtId="0" fontId="1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0" borderId="0">
      <alignment vertical="center"/>
    </xf>
    <xf numFmtId="0" fontId="8" fillId="5" borderId="3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9" borderId="0">
      <alignment vertical="center"/>
    </xf>
    <xf numFmtId="0" fontId="8" fillId="20" borderId="0">
      <alignment vertical="center"/>
    </xf>
    <xf numFmtId="0" fontId="8" fillId="21" borderId="0">
      <alignment vertical="center"/>
    </xf>
    <xf numFmtId="0" fontId="8" fillId="22" borderId="0">
      <alignment vertical="center"/>
    </xf>
    <xf numFmtId="0" fontId="8" fillId="23" borderId="0">
      <alignment vertical="center"/>
    </xf>
    <xf numFmtId="0" fontId="8" fillId="0" borderId="0">
      <alignment vertical="center"/>
    </xf>
    <xf numFmtId="0" fontId="8" fillId="5" borderId="3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9" applyNumberFormat="0" applyAlignment="0" applyProtection="0">
      <alignment vertical="center"/>
    </xf>
    <xf numFmtId="0" fontId="26" fillId="31" borderId="10" applyNumberFormat="0" applyAlignment="0" applyProtection="0">
      <alignment vertical="center"/>
    </xf>
    <xf numFmtId="0" fontId="27" fillId="31" borderId="9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32" borderId="12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" fillId="0" borderId="13" applyNumberFormat="0" applyFill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9" fillId="0" borderId="0"/>
    <xf numFmtId="0" fontId="31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24" borderId="3" applyProtection="0"/>
    <xf numFmtId="0" fontId="13" fillId="0" borderId="0">
      <alignment vertical="center"/>
    </xf>
    <xf numFmtId="0" fontId="14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" borderId="3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2" xfId="0" applyFill="1" applyBorder="1" applyAlignment="1">
      <alignment vertical="center"/>
    </xf>
    <xf numFmtId="176" fontId="2" fillId="2" borderId="1" xfId="0" applyNumberFormat="1" applyFont="1" applyFill="1" applyBorder="1" applyAlignment="1"/>
    <xf numFmtId="176" fontId="2" fillId="0" borderId="0" xfId="0" applyNumberFormat="1" applyFont="1" applyAlignment="1"/>
    <xf numFmtId="176" fontId="2" fillId="2" borderId="2" xfId="0" applyNumberFormat="1" applyFont="1" applyFill="1" applyBorder="1" applyAlignment="1"/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14" fontId="2" fillId="0" borderId="0" xfId="2" applyNumberFormat="1" applyFont="1" applyBorder="1"/>
    <xf numFmtId="0" fontId="16" fillId="0" borderId="0" xfId="2" applyFont="1" applyBorder="1" applyAlignment="1">
      <alignment horizontal="center"/>
    </xf>
    <xf numFmtId="14" fontId="2" fillId="4" borderId="0" xfId="2" applyNumberFormat="1" applyFont="1" applyFill="1" applyBorder="1"/>
    <xf numFmtId="14" fontId="2" fillId="26" borderId="0" xfId="2" applyNumberFormat="1" applyFont="1" applyFill="1" applyBorder="1"/>
    <xf numFmtId="14" fontId="2" fillId="2" borderId="5" xfId="2" applyNumberFormat="1" applyFont="1" applyFill="1" applyBorder="1"/>
    <xf numFmtId="0" fontId="0" fillId="0" borderId="0" xfId="0" applyAlignment="1">
      <alignment vertical="center"/>
    </xf>
    <xf numFmtId="178" fontId="33" fillId="0" borderId="0" xfId="1" applyNumberFormat="1" applyFont="1"/>
    <xf numFmtId="0" fontId="8" fillId="0" borderId="0" xfId="555">
      <alignment vertical="center"/>
    </xf>
    <xf numFmtId="0" fontId="0" fillId="0" borderId="0" xfId="0" applyAlignment="1">
      <alignment vertical="center"/>
    </xf>
    <xf numFmtId="177" fontId="2" fillId="25" borderId="0" xfId="0" applyNumberFormat="1" applyFont="1" applyFill="1" applyBorder="1" applyAlignment="1">
      <alignment horizontal="center"/>
    </xf>
    <xf numFmtId="0" fontId="8" fillId="0" borderId="0" xfId="553" applyAlignment="1">
      <alignment vertical="center"/>
    </xf>
    <xf numFmtId="178" fontId="17" fillId="0" borderId="0" xfId="0" applyNumberFormat="1" applyFont="1" applyAlignment="1">
      <alignment vertical="center"/>
    </xf>
    <xf numFmtId="178" fontId="0" fillId="0" borderId="0" xfId="0" applyNumberFormat="1" applyAlignment="1"/>
    <xf numFmtId="178" fontId="33" fillId="0" borderId="0" xfId="2" applyNumberFormat="1" applyFont="1"/>
    <xf numFmtId="178" fontId="35" fillId="0" borderId="0" xfId="2" applyNumberFormat="1" applyFont="1" applyAlignment="1">
      <alignment vertical="center"/>
    </xf>
    <xf numFmtId="178" fontId="35" fillId="0" borderId="0" xfId="2" applyNumberFormat="1" applyFont="1"/>
    <xf numFmtId="0" fontId="16" fillId="0" borderId="0" xfId="2" applyFont="1" applyBorder="1" applyAlignment="1">
      <alignment horizontal="center"/>
    </xf>
    <xf numFmtId="178" fontId="33" fillId="0" borderId="0" xfId="2" applyNumberFormat="1" applyFont="1"/>
    <xf numFmtId="178" fontId="9" fillId="0" borderId="0" xfId="2" applyNumberFormat="1" applyFont="1"/>
    <xf numFmtId="0" fontId="9" fillId="0" borderId="0" xfId="2" applyAlignment="1">
      <alignment vertical="center"/>
    </xf>
    <xf numFmtId="0" fontId="9" fillId="0" borderId="0" xfId="2" applyAlignment="1">
      <alignment vertical="center"/>
    </xf>
    <xf numFmtId="0" fontId="8" fillId="30" borderId="0" xfId="553" applyFill="1" applyAlignment="1">
      <alignment vertical="center"/>
    </xf>
    <xf numFmtId="0" fontId="8" fillId="30" borderId="0" xfId="553" applyFill="1" applyAlignment="1"/>
    <xf numFmtId="0" fontId="34" fillId="0" borderId="0" xfId="550" applyFont="1" applyAlignment="1">
      <alignment horizontal="center"/>
    </xf>
    <xf numFmtId="0" fontId="8" fillId="30" borderId="0" xfId="553" applyFill="1" applyAlignment="1">
      <alignment vertical="center"/>
    </xf>
    <xf numFmtId="179" fontId="11" fillId="30" borderId="0" xfId="553" applyNumberFormat="1" applyFont="1" applyFill="1" applyAlignment="1">
      <alignment vertical="center"/>
    </xf>
    <xf numFmtId="0" fontId="9" fillId="0" borderId="0" xfId="2" applyAlignment="1">
      <alignment vertical="center"/>
    </xf>
    <xf numFmtId="178" fontId="9" fillId="0" borderId="0" xfId="2" applyNumberFormat="1" applyFont="1"/>
    <xf numFmtId="178" fontId="9" fillId="0" borderId="0" xfId="2" applyNumberFormat="1" applyFont="1" applyFill="1"/>
    <xf numFmtId="0" fontId="16" fillId="0" borderId="0" xfId="2" applyFont="1" applyBorder="1" applyAlignment="1">
      <alignment horizontal="center"/>
    </xf>
    <xf numFmtId="178" fontId="35" fillId="0" borderId="0" xfId="2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556">
    <cellStyle name="20% - アクセント 1" xfId="92" builtinId="30" customBuiltin="1"/>
    <cellStyle name="20% - アクセント 1 10" xfId="531" xr:uid="{00000000-0005-0000-0000-000026010000}"/>
    <cellStyle name="20% - アクセント 1 2" xfId="34" xr:uid="{00000000-0005-0000-0000-00004A000000}"/>
    <cellStyle name="20% - アクセント 1 2 2" xfId="198" xr:uid="{00000000-0005-0000-0000-00003D000000}"/>
    <cellStyle name="20% - アクセント 1 2 2 2" xfId="346" xr:uid="{00000000-0005-0000-0000-00003D000000}"/>
    <cellStyle name="20% - アクセント 1 2 3" xfId="295" xr:uid="{00000000-0005-0000-0000-00003D000000}"/>
    <cellStyle name="20% - アクセント 1 2 4" xfId="444" xr:uid="{00000000-0005-0000-0000-00003D000000}"/>
    <cellStyle name="20% - アクセント 1 2 5" xfId="149" xr:uid="{00000000-0005-0000-0000-00003D000000}"/>
    <cellStyle name="20% - アクセント 1 3" xfId="54" xr:uid="{00000000-0005-0000-0000-00005E000000}"/>
    <cellStyle name="20% - アクセント 1 3 2" xfId="218" xr:uid="{00000000-0005-0000-0000-000063000000}"/>
    <cellStyle name="20% - アクセント 1 3 2 2" xfId="366" xr:uid="{00000000-0005-0000-0000-000063000000}"/>
    <cellStyle name="20% - アクセント 1 3 3" xfId="265" xr:uid="{00000000-0005-0000-0000-00003F000000}"/>
    <cellStyle name="20% - アクセント 1 3 4" xfId="414" xr:uid="{00000000-0005-0000-0000-00003F000000}"/>
    <cellStyle name="20% - アクセント 1 3 5" xfId="120" xr:uid="{00000000-0005-0000-0000-00003F000000}"/>
    <cellStyle name="20% - アクセント 1 4" xfId="169" xr:uid="{00000000-0005-0000-0000-000080000000}"/>
    <cellStyle name="20% - アクセント 1 4 2" xfId="316" xr:uid="{00000000-0005-0000-0000-000080000000}"/>
    <cellStyle name="20% - アクセント 1 5" xfId="237" xr:uid="{00000000-0005-0000-0000-0000C7000000}"/>
    <cellStyle name="20% - アクセント 1 6" xfId="386" xr:uid="{00000000-0005-0000-0000-00005C010000}"/>
    <cellStyle name="20% - アクセント 1 7" xfId="472" xr:uid="{00000000-0005-0000-0000-0000E9000000}"/>
    <cellStyle name="20% - アクセント 1 8" xfId="492" xr:uid="{00000000-0005-0000-0000-0000FD000000}"/>
    <cellStyle name="20% - アクセント 1 9" xfId="512" xr:uid="{00000000-0005-0000-0000-000011010000}"/>
    <cellStyle name="20% - アクセント 2" xfId="96" builtinId="34" customBuiltin="1"/>
    <cellStyle name="20% - アクセント 2 10" xfId="534" xr:uid="{00000000-0005-0000-0000-000028010000}"/>
    <cellStyle name="20% - アクセント 2 2" xfId="37" xr:uid="{00000000-0005-0000-0000-00004D000000}"/>
    <cellStyle name="20% - アクセント 2 2 2" xfId="201" xr:uid="{00000000-0005-0000-0000-00003E000000}"/>
    <cellStyle name="20% - アクセント 2 2 2 2" xfId="349" xr:uid="{00000000-0005-0000-0000-00003E000000}"/>
    <cellStyle name="20% - アクセント 2 2 3" xfId="298" xr:uid="{00000000-0005-0000-0000-00003E000000}"/>
    <cellStyle name="20% - アクセント 2 2 4" xfId="447" xr:uid="{00000000-0005-0000-0000-00003E000000}"/>
    <cellStyle name="20% - アクセント 2 2 5" xfId="152" xr:uid="{00000000-0005-0000-0000-00003E000000}"/>
    <cellStyle name="20% - アクセント 2 3" xfId="57" xr:uid="{00000000-0005-0000-0000-000061000000}"/>
    <cellStyle name="20% - アクセント 2 3 2" xfId="221" xr:uid="{00000000-0005-0000-0000-000064000000}"/>
    <cellStyle name="20% - アクセント 2 3 2 2" xfId="369" xr:uid="{00000000-0005-0000-0000-000064000000}"/>
    <cellStyle name="20% - アクセント 2 3 3" xfId="268" xr:uid="{00000000-0005-0000-0000-000041000000}"/>
    <cellStyle name="20% - アクセント 2 3 4" xfId="417" xr:uid="{00000000-0005-0000-0000-000041000000}"/>
    <cellStyle name="20% - アクセント 2 3 5" xfId="123" xr:uid="{00000000-0005-0000-0000-000041000000}"/>
    <cellStyle name="20% - アクセント 2 4" xfId="172" xr:uid="{00000000-0005-0000-0000-000083000000}"/>
    <cellStyle name="20% - アクセント 2 4 2" xfId="319" xr:uid="{00000000-0005-0000-0000-000083000000}"/>
    <cellStyle name="20% - アクセント 2 5" xfId="240" xr:uid="{00000000-0005-0000-0000-0000CD000000}"/>
    <cellStyle name="20% - アクセント 2 6" xfId="389" xr:uid="{00000000-0005-0000-0000-00005F010000}"/>
    <cellStyle name="20% - アクセント 2 7" xfId="475" xr:uid="{00000000-0005-0000-0000-0000EA000000}"/>
    <cellStyle name="20% - アクセント 2 8" xfId="495" xr:uid="{00000000-0005-0000-0000-0000FE000000}"/>
    <cellStyle name="20% - アクセント 2 9" xfId="515" xr:uid="{00000000-0005-0000-0000-000012010000}"/>
    <cellStyle name="20% - アクセント 3" xfId="100" builtinId="38" customBuiltin="1"/>
    <cellStyle name="20% - アクセント 3 10" xfId="537" xr:uid="{00000000-0005-0000-0000-00002A010000}"/>
    <cellStyle name="20% - アクセント 3 2" xfId="40" xr:uid="{00000000-0005-0000-0000-000050000000}"/>
    <cellStyle name="20% - アクセント 3 2 2" xfId="204" xr:uid="{00000000-0005-0000-0000-00003F000000}"/>
    <cellStyle name="20% - アクセント 3 2 2 2" xfId="352" xr:uid="{00000000-0005-0000-0000-00003F000000}"/>
    <cellStyle name="20% - アクセント 3 2 3" xfId="301" xr:uid="{00000000-0005-0000-0000-00003F000000}"/>
    <cellStyle name="20% - アクセント 3 2 4" xfId="450" xr:uid="{00000000-0005-0000-0000-00003F000000}"/>
    <cellStyle name="20% - アクセント 3 2 5" xfId="155" xr:uid="{00000000-0005-0000-0000-00003F000000}"/>
    <cellStyle name="20% - アクセント 3 3" xfId="60" xr:uid="{00000000-0005-0000-0000-000064000000}"/>
    <cellStyle name="20% - アクセント 3 3 2" xfId="224" xr:uid="{00000000-0005-0000-0000-000065000000}"/>
    <cellStyle name="20% - アクセント 3 3 2 2" xfId="372" xr:uid="{00000000-0005-0000-0000-000065000000}"/>
    <cellStyle name="20% - アクセント 3 3 3" xfId="271" xr:uid="{00000000-0005-0000-0000-000043000000}"/>
    <cellStyle name="20% - アクセント 3 3 4" xfId="420" xr:uid="{00000000-0005-0000-0000-000043000000}"/>
    <cellStyle name="20% - アクセント 3 3 5" xfId="126" xr:uid="{00000000-0005-0000-0000-000043000000}"/>
    <cellStyle name="20% - アクセント 3 4" xfId="175" xr:uid="{00000000-0005-0000-0000-000086000000}"/>
    <cellStyle name="20% - アクセント 3 4 2" xfId="322" xr:uid="{00000000-0005-0000-0000-000086000000}"/>
    <cellStyle name="20% - アクセント 3 5" xfId="243" xr:uid="{00000000-0005-0000-0000-0000D3000000}"/>
    <cellStyle name="20% - アクセント 3 6" xfId="392" xr:uid="{00000000-0005-0000-0000-000062010000}"/>
    <cellStyle name="20% - アクセント 3 7" xfId="478" xr:uid="{00000000-0005-0000-0000-0000EB000000}"/>
    <cellStyle name="20% - アクセント 3 8" xfId="498" xr:uid="{00000000-0005-0000-0000-0000FF000000}"/>
    <cellStyle name="20% - アクセント 3 9" xfId="518" xr:uid="{00000000-0005-0000-0000-000013010000}"/>
    <cellStyle name="20% - アクセント 4" xfId="104" builtinId="42" customBuiltin="1"/>
    <cellStyle name="20% - アクセント 4 10" xfId="540" xr:uid="{00000000-0005-0000-0000-00002C010000}"/>
    <cellStyle name="20% - アクセント 4 2" xfId="43" xr:uid="{00000000-0005-0000-0000-000053000000}"/>
    <cellStyle name="20% - アクセント 4 2 2" xfId="207" xr:uid="{00000000-0005-0000-0000-000040000000}"/>
    <cellStyle name="20% - アクセント 4 2 2 2" xfId="355" xr:uid="{00000000-0005-0000-0000-000040000000}"/>
    <cellStyle name="20% - アクセント 4 2 3" xfId="304" xr:uid="{00000000-0005-0000-0000-000040000000}"/>
    <cellStyle name="20% - アクセント 4 2 4" xfId="453" xr:uid="{00000000-0005-0000-0000-000040000000}"/>
    <cellStyle name="20% - アクセント 4 2 5" xfId="158" xr:uid="{00000000-0005-0000-0000-000040000000}"/>
    <cellStyle name="20% - アクセント 4 3" xfId="63" xr:uid="{00000000-0005-0000-0000-000067000000}"/>
    <cellStyle name="20% - アクセント 4 3 2" xfId="227" xr:uid="{00000000-0005-0000-0000-000066000000}"/>
    <cellStyle name="20% - アクセント 4 3 2 2" xfId="375" xr:uid="{00000000-0005-0000-0000-000066000000}"/>
    <cellStyle name="20% - アクセント 4 3 3" xfId="274" xr:uid="{00000000-0005-0000-0000-000045000000}"/>
    <cellStyle name="20% - アクセント 4 3 4" xfId="423" xr:uid="{00000000-0005-0000-0000-000045000000}"/>
    <cellStyle name="20% - アクセント 4 3 5" xfId="129" xr:uid="{00000000-0005-0000-0000-000045000000}"/>
    <cellStyle name="20% - アクセント 4 4" xfId="178" xr:uid="{00000000-0005-0000-0000-000089000000}"/>
    <cellStyle name="20% - アクセント 4 4 2" xfId="325" xr:uid="{00000000-0005-0000-0000-000089000000}"/>
    <cellStyle name="20% - アクセント 4 5" xfId="246" xr:uid="{00000000-0005-0000-0000-0000D9000000}"/>
    <cellStyle name="20% - アクセント 4 6" xfId="395" xr:uid="{00000000-0005-0000-0000-000065010000}"/>
    <cellStyle name="20% - アクセント 4 7" xfId="481" xr:uid="{00000000-0005-0000-0000-0000EC000000}"/>
    <cellStyle name="20% - アクセント 4 8" xfId="501" xr:uid="{00000000-0005-0000-0000-000000010000}"/>
    <cellStyle name="20% - アクセント 4 9" xfId="521" xr:uid="{00000000-0005-0000-0000-000014010000}"/>
    <cellStyle name="20% - アクセント 5" xfId="108" builtinId="46" customBuiltin="1"/>
    <cellStyle name="20% - アクセント 5 10" xfId="543" xr:uid="{00000000-0005-0000-0000-00002E010000}"/>
    <cellStyle name="20% - アクセント 5 2" xfId="46" xr:uid="{00000000-0005-0000-0000-000056000000}"/>
    <cellStyle name="20% - アクセント 5 2 2" xfId="210" xr:uid="{00000000-0005-0000-0000-000041000000}"/>
    <cellStyle name="20% - アクセント 5 2 2 2" xfId="358" xr:uid="{00000000-0005-0000-0000-000041000000}"/>
    <cellStyle name="20% - アクセント 5 2 3" xfId="307" xr:uid="{00000000-0005-0000-0000-000041000000}"/>
    <cellStyle name="20% - アクセント 5 2 4" xfId="456" xr:uid="{00000000-0005-0000-0000-000041000000}"/>
    <cellStyle name="20% - アクセント 5 2 5" xfId="161" xr:uid="{00000000-0005-0000-0000-000041000000}"/>
    <cellStyle name="20% - アクセント 5 3" xfId="66" xr:uid="{00000000-0005-0000-0000-00006A000000}"/>
    <cellStyle name="20% - アクセント 5 3 2" xfId="230" xr:uid="{00000000-0005-0000-0000-000067000000}"/>
    <cellStyle name="20% - アクセント 5 3 2 2" xfId="378" xr:uid="{00000000-0005-0000-0000-000067000000}"/>
    <cellStyle name="20% - アクセント 5 3 3" xfId="277" xr:uid="{00000000-0005-0000-0000-000047000000}"/>
    <cellStyle name="20% - アクセント 5 3 4" xfId="426" xr:uid="{00000000-0005-0000-0000-000047000000}"/>
    <cellStyle name="20% - アクセント 5 3 5" xfId="132" xr:uid="{00000000-0005-0000-0000-000047000000}"/>
    <cellStyle name="20% - アクセント 5 4" xfId="181" xr:uid="{00000000-0005-0000-0000-00008C000000}"/>
    <cellStyle name="20% - アクセント 5 4 2" xfId="328" xr:uid="{00000000-0005-0000-0000-00008C000000}"/>
    <cellStyle name="20% - アクセント 5 5" xfId="249" xr:uid="{00000000-0005-0000-0000-0000DF000000}"/>
    <cellStyle name="20% - アクセント 5 6" xfId="398" xr:uid="{00000000-0005-0000-0000-000068010000}"/>
    <cellStyle name="20% - アクセント 5 7" xfId="484" xr:uid="{00000000-0005-0000-0000-0000ED000000}"/>
    <cellStyle name="20% - アクセント 5 8" xfId="504" xr:uid="{00000000-0005-0000-0000-000001010000}"/>
    <cellStyle name="20% - アクセント 5 9" xfId="524" xr:uid="{00000000-0005-0000-0000-000015010000}"/>
    <cellStyle name="20% - アクセント 6" xfId="112" builtinId="50" customBuiltin="1"/>
    <cellStyle name="20% - アクセント 6 10" xfId="546" xr:uid="{00000000-0005-0000-0000-000030010000}"/>
    <cellStyle name="20% - アクセント 6 2" xfId="49" xr:uid="{00000000-0005-0000-0000-000059000000}"/>
    <cellStyle name="20% - アクセント 6 2 2" xfId="213" xr:uid="{00000000-0005-0000-0000-000042000000}"/>
    <cellStyle name="20% - アクセント 6 2 2 2" xfId="361" xr:uid="{00000000-0005-0000-0000-000042000000}"/>
    <cellStyle name="20% - アクセント 6 2 3" xfId="310" xr:uid="{00000000-0005-0000-0000-000042000000}"/>
    <cellStyle name="20% - アクセント 6 2 4" xfId="459" xr:uid="{00000000-0005-0000-0000-000042000000}"/>
    <cellStyle name="20% - アクセント 6 2 5" xfId="164" xr:uid="{00000000-0005-0000-0000-000042000000}"/>
    <cellStyle name="20% - アクセント 6 3" xfId="69" xr:uid="{00000000-0005-0000-0000-00006D000000}"/>
    <cellStyle name="20% - アクセント 6 3 2" xfId="233" xr:uid="{00000000-0005-0000-0000-000068000000}"/>
    <cellStyle name="20% - アクセント 6 3 2 2" xfId="381" xr:uid="{00000000-0005-0000-0000-000068000000}"/>
    <cellStyle name="20% - アクセント 6 3 3" xfId="280" xr:uid="{00000000-0005-0000-0000-000049000000}"/>
    <cellStyle name="20% - アクセント 6 3 4" xfId="429" xr:uid="{00000000-0005-0000-0000-000049000000}"/>
    <cellStyle name="20% - アクセント 6 3 5" xfId="135" xr:uid="{00000000-0005-0000-0000-000049000000}"/>
    <cellStyle name="20% - アクセント 6 4" xfId="184" xr:uid="{00000000-0005-0000-0000-00008F000000}"/>
    <cellStyle name="20% - アクセント 6 4 2" xfId="331" xr:uid="{00000000-0005-0000-0000-00008F000000}"/>
    <cellStyle name="20% - アクセント 6 5" xfId="252" xr:uid="{00000000-0005-0000-0000-0000E5000000}"/>
    <cellStyle name="20% - アクセント 6 6" xfId="401" xr:uid="{00000000-0005-0000-0000-00006B010000}"/>
    <cellStyle name="20% - アクセント 6 7" xfId="487" xr:uid="{00000000-0005-0000-0000-0000EE000000}"/>
    <cellStyle name="20% - アクセント 6 8" xfId="507" xr:uid="{00000000-0005-0000-0000-000002010000}"/>
    <cellStyle name="20% - アクセント 6 9" xfId="527" xr:uid="{00000000-0005-0000-0000-000016010000}"/>
    <cellStyle name="40% - アクセント 1" xfId="93" builtinId="31" customBuiltin="1"/>
    <cellStyle name="40% - アクセント 1 10" xfId="532" xr:uid="{00000000-0005-0000-0000-000032010000}"/>
    <cellStyle name="40% - アクセント 1 2" xfId="35" xr:uid="{00000000-0005-0000-0000-00004B000000}"/>
    <cellStyle name="40% - アクセント 1 2 2" xfId="199" xr:uid="{00000000-0005-0000-0000-000043000000}"/>
    <cellStyle name="40% - アクセント 1 2 2 2" xfId="347" xr:uid="{00000000-0005-0000-0000-000043000000}"/>
    <cellStyle name="40% - アクセント 1 2 3" xfId="296" xr:uid="{00000000-0005-0000-0000-000043000000}"/>
    <cellStyle name="40% - アクセント 1 2 4" xfId="445" xr:uid="{00000000-0005-0000-0000-000043000000}"/>
    <cellStyle name="40% - アクセント 1 2 5" xfId="150" xr:uid="{00000000-0005-0000-0000-000043000000}"/>
    <cellStyle name="40% - アクセント 1 3" xfId="55" xr:uid="{00000000-0005-0000-0000-00005F000000}"/>
    <cellStyle name="40% - アクセント 1 3 2" xfId="219" xr:uid="{00000000-0005-0000-0000-000069000000}"/>
    <cellStyle name="40% - アクセント 1 3 2 2" xfId="367" xr:uid="{00000000-0005-0000-0000-000069000000}"/>
    <cellStyle name="40% - アクセント 1 3 3" xfId="266" xr:uid="{00000000-0005-0000-0000-00004B000000}"/>
    <cellStyle name="40% - アクセント 1 3 4" xfId="415" xr:uid="{00000000-0005-0000-0000-00004B000000}"/>
    <cellStyle name="40% - アクセント 1 3 5" xfId="121" xr:uid="{00000000-0005-0000-0000-00004B000000}"/>
    <cellStyle name="40% - アクセント 1 4" xfId="170" xr:uid="{00000000-0005-0000-0000-000092000000}"/>
    <cellStyle name="40% - アクセント 1 4 2" xfId="317" xr:uid="{00000000-0005-0000-0000-000092000000}"/>
    <cellStyle name="40% - アクセント 1 5" xfId="238" xr:uid="{00000000-0005-0000-0000-0000EB000000}"/>
    <cellStyle name="40% - アクセント 1 6" xfId="387" xr:uid="{00000000-0005-0000-0000-00006E010000}"/>
    <cellStyle name="40% - アクセント 1 7" xfId="473" xr:uid="{00000000-0005-0000-0000-0000EF000000}"/>
    <cellStyle name="40% - アクセント 1 8" xfId="493" xr:uid="{00000000-0005-0000-0000-000003010000}"/>
    <cellStyle name="40% - アクセント 1 9" xfId="513" xr:uid="{00000000-0005-0000-0000-000017010000}"/>
    <cellStyle name="40% - アクセント 2" xfId="97" builtinId="35" customBuiltin="1"/>
    <cellStyle name="40% - アクセント 2 10" xfId="535" xr:uid="{00000000-0005-0000-0000-000034010000}"/>
    <cellStyle name="40% - アクセント 2 2" xfId="38" xr:uid="{00000000-0005-0000-0000-00004E000000}"/>
    <cellStyle name="40% - アクセント 2 2 2" xfId="202" xr:uid="{00000000-0005-0000-0000-000044000000}"/>
    <cellStyle name="40% - アクセント 2 2 2 2" xfId="350" xr:uid="{00000000-0005-0000-0000-000044000000}"/>
    <cellStyle name="40% - アクセント 2 2 3" xfId="299" xr:uid="{00000000-0005-0000-0000-000044000000}"/>
    <cellStyle name="40% - アクセント 2 2 4" xfId="448" xr:uid="{00000000-0005-0000-0000-000044000000}"/>
    <cellStyle name="40% - アクセント 2 2 5" xfId="153" xr:uid="{00000000-0005-0000-0000-000044000000}"/>
    <cellStyle name="40% - アクセント 2 3" xfId="58" xr:uid="{00000000-0005-0000-0000-000062000000}"/>
    <cellStyle name="40% - アクセント 2 3 2" xfId="222" xr:uid="{00000000-0005-0000-0000-00006A000000}"/>
    <cellStyle name="40% - アクセント 2 3 2 2" xfId="370" xr:uid="{00000000-0005-0000-0000-00006A000000}"/>
    <cellStyle name="40% - アクセント 2 3 3" xfId="269" xr:uid="{00000000-0005-0000-0000-00004D000000}"/>
    <cellStyle name="40% - アクセント 2 3 4" xfId="418" xr:uid="{00000000-0005-0000-0000-00004D000000}"/>
    <cellStyle name="40% - アクセント 2 3 5" xfId="124" xr:uid="{00000000-0005-0000-0000-00004D000000}"/>
    <cellStyle name="40% - アクセント 2 4" xfId="173" xr:uid="{00000000-0005-0000-0000-000095000000}"/>
    <cellStyle name="40% - アクセント 2 4 2" xfId="320" xr:uid="{00000000-0005-0000-0000-000095000000}"/>
    <cellStyle name="40% - アクセント 2 5" xfId="241" xr:uid="{00000000-0005-0000-0000-0000F1000000}"/>
    <cellStyle name="40% - アクセント 2 6" xfId="390" xr:uid="{00000000-0005-0000-0000-000071010000}"/>
    <cellStyle name="40% - アクセント 2 7" xfId="476" xr:uid="{00000000-0005-0000-0000-0000F0000000}"/>
    <cellStyle name="40% - アクセント 2 8" xfId="496" xr:uid="{00000000-0005-0000-0000-000004010000}"/>
    <cellStyle name="40% - アクセント 2 9" xfId="516" xr:uid="{00000000-0005-0000-0000-000018010000}"/>
    <cellStyle name="40% - アクセント 3" xfId="101" builtinId="39" customBuiltin="1"/>
    <cellStyle name="40% - アクセント 3 10" xfId="538" xr:uid="{00000000-0005-0000-0000-000036010000}"/>
    <cellStyle name="40% - アクセント 3 2" xfId="41" xr:uid="{00000000-0005-0000-0000-000051000000}"/>
    <cellStyle name="40% - アクセント 3 2 2" xfId="205" xr:uid="{00000000-0005-0000-0000-000045000000}"/>
    <cellStyle name="40% - アクセント 3 2 2 2" xfId="353" xr:uid="{00000000-0005-0000-0000-000045000000}"/>
    <cellStyle name="40% - アクセント 3 2 3" xfId="302" xr:uid="{00000000-0005-0000-0000-000045000000}"/>
    <cellStyle name="40% - アクセント 3 2 4" xfId="451" xr:uid="{00000000-0005-0000-0000-000045000000}"/>
    <cellStyle name="40% - アクセント 3 2 5" xfId="156" xr:uid="{00000000-0005-0000-0000-000045000000}"/>
    <cellStyle name="40% - アクセント 3 3" xfId="61" xr:uid="{00000000-0005-0000-0000-000065000000}"/>
    <cellStyle name="40% - アクセント 3 3 2" xfId="225" xr:uid="{00000000-0005-0000-0000-00006B000000}"/>
    <cellStyle name="40% - アクセント 3 3 2 2" xfId="373" xr:uid="{00000000-0005-0000-0000-00006B000000}"/>
    <cellStyle name="40% - アクセント 3 3 3" xfId="272" xr:uid="{00000000-0005-0000-0000-00004F000000}"/>
    <cellStyle name="40% - アクセント 3 3 4" xfId="421" xr:uid="{00000000-0005-0000-0000-00004F000000}"/>
    <cellStyle name="40% - アクセント 3 3 5" xfId="127" xr:uid="{00000000-0005-0000-0000-00004F000000}"/>
    <cellStyle name="40% - アクセント 3 4" xfId="176" xr:uid="{00000000-0005-0000-0000-000098000000}"/>
    <cellStyle name="40% - アクセント 3 4 2" xfId="323" xr:uid="{00000000-0005-0000-0000-000098000000}"/>
    <cellStyle name="40% - アクセント 3 5" xfId="244" xr:uid="{00000000-0005-0000-0000-0000F7000000}"/>
    <cellStyle name="40% - アクセント 3 6" xfId="393" xr:uid="{00000000-0005-0000-0000-000074010000}"/>
    <cellStyle name="40% - アクセント 3 7" xfId="479" xr:uid="{00000000-0005-0000-0000-0000F1000000}"/>
    <cellStyle name="40% - アクセント 3 8" xfId="499" xr:uid="{00000000-0005-0000-0000-000005010000}"/>
    <cellStyle name="40% - アクセント 3 9" xfId="519" xr:uid="{00000000-0005-0000-0000-000019010000}"/>
    <cellStyle name="40% - アクセント 4" xfId="105" builtinId="43" customBuiltin="1"/>
    <cellStyle name="40% - アクセント 4 10" xfId="541" xr:uid="{00000000-0005-0000-0000-000038010000}"/>
    <cellStyle name="40% - アクセント 4 2" xfId="44" xr:uid="{00000000-0005-0000-0000-000054000000}"/>
    <cellStyle name="40% - アクセント 4 2 2" xfId="208" xr:uid="{00000000-0005-0000-0000-000046000000}"/>
    <cellStyle name="40% - アクセント 4 2 2 2" xfId="356" xr:uid="{00000000-0005-0000-0000-000046000000}"/>
    <cellStyle name="40% - アクセント 4 2 3" xfId="305" xr:uid="{00000000-0005-0000-0000-000046000000}"/>
    <cellStyle name="40% - アクセント 4 2 4" xfId="454" xr:uid="{00000000-0005-0000-0000-000046000000}"/>
    <cellStyle name="40% - アクセント 4 2 5" xfId="159" xr:uid="{00000000-0005-0000-0000-000046000000}"/>
    <cellStyle name="40% - アクセント 4 3" xfId="64" xr:uid="{00000000-0005-0000-0000-000068000000}"/>
    <cellStyle name="40% - アクセント 4 3 2" xfId="228" xr:uid="{00000000-0005-0000-0000-00006C000000}"/>
    <cellStyle name="40% - アクセント 4 3 2 2" xfId="376" xr:uid="{00000000-0005-0000-0000-00006C000000}"/>
    <cellStyle name="40% - アクセント 4 3 3" xfId="275" xr:uid="{00000000-0005-0000-0000-000051000000}"/>
    <cellStyle name="40% - アクセント 4 3 4" xfId="424" xr:uid="{00000000-0005-0000-0000-000051000000}"/>
    <cellStyle name="40% - アクセント 4 3 5" xfId="130" xr:uid="{00000000-0005-0000-0000-000051000000}"/>
    <cellStyle name="40% - アクセント 4 4" xfId="179" xr:uid="{00000000-0005-0000-0000-00009B000000}"/>
    <cellStyle name="40% - アクセント 4 4 2" xfId="326" xr:uid="{00000000-0005-0000-0000-00009B000000}"/>
    <cellStyle name="40% - アクセント 4 5" xfId="247" xr:uid="{00000000-0005-0000-0000-0000FD000000}"/>
    <cellStyle name="40% - アクセント 4 6" xfId="396" xr:uid="{00000000-0005-0000-0000-000077010000}"/>
    <cellStyle name="40% - アクセント 4 7" xfId="482" xr:uid="{00000000-0005-0000-0000-0000F2000000}"/>
    <cellStyle name="40% - アクセント 4 8" xfId="502" xr:uid="{00000000-0005-0000-0000-000006010000}"/>
    <cellStyle name="40% - アクセント 4 9" xfId="522" xr:uid="{00000000-0005-0000-0000-00001A010000}"/>
    <cellStyle name="40% - アクセント 5" xfId="109" builtinId="47" customBuiltin="1"/>
    <cellStyle name="40% - アクセント 5 10" xfId="544" xr:uid="{00000000-0005-0000-0000-00003A010000}"/>
    <cellStyle name="40% - アクセント 5 2" xfId="47" xr:uid="{00000000-0005-0000-0000-000057000000}"/>
    <cellStyle name="40% - アクセント 5 2 2" xfId="211" xr:uid="{00000000-0005-0000-0000-000047000000}"/>
    <cellStyle name="40% - アクセント 5 2 2 2" xfId="359" xr:uid="{00000000-0005-0000-0000-000047000000}"/>
    <cellStyle name="40% - アクセント 5 2 3" xfId="308" xr:uid="{00000000-0005-0000-0000-000047000000}"/>
    <cellStyle name="40% - アクセント 5 2 4" xfId="457" xr:uid="{00000000-0005-0000-0000-000047000000}"/>
    <cellStyle name="40% - アクセント 5 2 5" xfId="162" xr:uid="{00000000-0005-0000-0000-000047000000}"/>
    <cellStyle name="40% - アクセント 5 3" xfId="67" xr:uid="{00000000-0005-0000-0000-00006B000000}"/>
    <cellStyle name="40% - アクセント 5 3 2" xfId="231" xr:uid="{00000000-0005-0000-0000-00006D000000}"/>
    <cellStyle name="40% - アクセント 5 3 2 2" xfId="379" xr:uid="{00000000-0005-0000-0000-00006D000000}"/>
    <cellStyle name="40% - アクセント 5 3 3" xfId="278" xr:uid="{00000000-0005-0000-0000-000053000000}"/>
    <cellStyle name="40% - アクセント 5 3 4" xfId="427" xr:uid="{00000000-0005-0000-0000-000053000000}"/>
    <cellStyle name="40% - アクセント 5 3 5" xfId="133" xr:uid="{00000000-0005-0000-0000-000053000000}"/>
    <cellStyle name="40% - アクセント 5 4" xfId="182" xr:uid="{00000000-0005-0000-0000-00009E000000}"/>
    <cellStyle name="40% - アクセント 5 4 2" xfId="329" xr:uid="{00000000-0005-0000-0000-00009E000000}"/>
    <cellStyle name="40% - アクセント 5 5" xfId="250" xr:uid="{00000000-0005-0000-0000-000003010000}"/>
    <cellStyle name="40% - アクセント 5 6" xfId="399" xr:uid="{00000000-0005-0000-0000-00007A010000}"/>
    <cellStyle name="40% - アクセント 5 7" xfId="485" xr:uid="{00000000-0005-0000-0000-0000F3000000}"/>
    <cellStyle name="40% - アクセント 5 8" xfId="505" xr:uid="{00000000-0005-0000-0000-000007010000}"/>
    <cellStyle name="40% - アクセント 5 9" xfId="525" xr:uid="{00000000-0005-0000-0000-00001B010000}"/>
    <cellStyle name="40% - アクセント 6" xfId="113" builtinId="51" customBuiltin="1"/>
    <cellStyle name="40% - アクセント 6 10" xfId="547" xr:uid="{00000000-0005-0000-0000-00003C010000}"/>
    <cellStyle name="40% - アクセント 6 2" xfId="50" xr:uid="{00000000-0005-0000-0000-00005A000000}"/>
    <cellStyle name="40% - アクセント 6 2 2" xfId="214" xr:uid="{00000000-0005-0000-0000-000048000000}"/>
    <cellStyle name="40% - アクセント 6 2 2 2" xfId="362" xr:uid="{00000000-0005-0000-0000-000048000000}"/>
    <cellStyle name="40% - アクセント 6 2 3" xfId="311" xr:uid="{00000000-0005-0000-0000-000048000000}"/>
    <cellStyle name="40% - アクセント 6 2 4" xfId="460" xr:uid="{00000000-0005-0000-0000-000048000000}"/>
    <cellStyle name="40% - アクセント 6 2 5" xfId="165" xr:uid="{00000000-0005-0000-0000-000048000000}"/>
    <cellStyle name="40% - アクセント 6 3" xfId="70" xr:uid="{00000000-0005-0000-0000-00006E000000}"/>
    <cellStyle name="40% - アクセント 6 3 2" xfId="234" xr:uid="{00000000-0005-0000-0000-00006E000000}"/>
    <cellStyle name="40% - アクセント 6 3 2 2" xfId="382" xr:uid="{00000000-0005-0000-0000-00006E000000}"/>
    <cellStyle name="40% - アクセント 6 3 3" xfId="281" xr:uid="{00000000-0005-0000-0000-000055000000}"/>
    <cellStyle name="40% - アクセント 6 3 4" xfId="430" xr:uid="{00000000-0005-0000-0000-000055000000}"/>
    <cellStyle name="40% - アクセント 6 3 5" xfId="136" xr:uid="{00000000-0005-0000-0000-000055000000}"/>
    <cellStyle name="40% - アクセント 6 4" xfId="185" xr:uid="{00000000-0005-0000-0000-0000A1000000}"/>
    <cellStyle name="40% - アクセント 6 4 2" xfId="332" xr:uid="{00000000-0005-0000-0000-0000A1000000}"/>
    <cellStyle name="40% - アクセント 6 5" xfId="253" xr:uid="{00000000-0005-0000-0000-000009010000}"/>
    <cellStyle name="40% - アクセント 6 6" xfId="402" xr:uid="{00000000-0005-0000-0000-00007D010000}"/>
    <cellStyle name="40% - アクセント 6 7" xfId="488" xr:uid="{00000000-0005-0000-0000-0000F4000000}"/>
    <cellStyle name="40% - アクセント 6 8" xfId="508" xr:uid="{00000000-0005-0000-0000-000008010000}"/>
    <cellStyle name="40% - アクセント 6 9" xfId="528" xr:uid="{00000000-0005-0000-0000-00001C010000}"/>
    <cellStyle name="60% - アクセント 1" xfId="94" builtinId="32" customBuiltin="1"/>
    <cellStyle name="60% - アクセント 1 10" xfId="533" xr:uid="{00000000-0005-0000-0000-00003E010000}"/>
    <cellStyle name="60% - アクセント 1 2" xfId="36" xr:uid="{00000000-0005-0000-0000-00004C000000}"/>
    <cellStyle name="60% - アクセント 1 2 2" xfId="200" xr:uid="{00000000-0005-0000-0000-000049000000}"/>
    <cellStyle name="60% - アクセント 1 2 2 2" xfId="348" xr:uid="{00000000-0005-0000-0000-000049000000}"/>
    <cellStyle name="60% - アクセント 1 2 3" xfId="297" xr:uid="{00000000-0005-0000-0000-000049000000}"/>
    <cellStyle name="60% - アクセント 1 2 4" xfId="446" xr:uid="{00000000-0005-0000-0000-000049000000}"/>
    <cellStyle name="60% - アクセント 1 2 5" xfId="151" xr:uid="{00000000-0005-0000-0000-000049000000}"/>
    <cellStyle name="60% - アクセント 1 3" xfId="56" xr:uid="{00000000-0005-0000-0000-000060000000}"/>
    <cellStyle name="60% - アクセント 1 3 2" xfId="220" xr:uid="{00000000-0005-0000-0000-00006F000000}"/>
    <cellStyle name="60% - アクセント 1 3 2 2" xfId="368" xr:uid="{00000000-0005-0000-0000-00006F000000}"/>
    <cellStyle name="60% - アクセント 1 3 3" xfId="267" xr:uid="{00000000-0005-0000-0000-000057000000}"/>
    <cellStyle name="60% - アクセント 1 3 4" xfId="416" xr:uid="{00000000-0005-0000-0000-000057000000}"/>
    <cellStyle name="60% - アクセント 1 3 5" xfId="122" xr:uid="{00000000-0005-0000-0000-000057000000}"/>
    <cellStyle name="60% - アクセント 1 4" xfId="171" xr:uid="{00000000-0005-0000-0000-0000A4000000}"/>
    <cellStyle name="60% - アクセント 1 4 2" xfId="318" xr:uid="{00000000-0005-0000-0000-0000A4000000}"/>
    <cellStyle name="60% - アクセント 1 5" xfId="239" xr:uid="{00000000-0005-0000-0000-00000F010000}"/>
    <cellStyle name="60% - アクセント 1 6" xfId="388" xr:uid="{00000000-0005-0000-0000-000080010000}"/>
    <cellStyle name="60% - アクセント 1 7" xfId="474" xr:uid="{00000000-0005-0000-0000-0000F5000000}"/>
    <cellStyle name="60% - アクセント 1 8" xfId="494" xr:uid="{00000000-0005-0000-0000-000009010000}"/>
    <cellStyle name="60% - アクセント 1 9" xfId="514" xr:uid="{00000000-0005-0000-0000-00001D010000}"/>
    <cellStyle name="60% - アクセント 2" xfId="98" builtinId="36" customBuiltin="1"/>
    <cellStyle name="60% - アクセント 2 10" xfId="536" xr:uid="{00000000-0005-0000-0000-000040010000}"/>
    <cellStyle name="60% - アクセント 2 2" xfId="39" xr:uid="{00000000-0005-0000-0000-00004F000000}"/>
    <cellStyle name="60% - アクセント 2 2 2" xfId="203" xr:uid="{00000000-0005-0000-0000-00004A000000}"/>
    <cellStyle name="60% - アクセント 2 2 2 2" xfId="351" xr:uid="{00000000-0005-0000-0000-00004A000000}"/>
    <cellStyle name="60% - アクセント 2 2 3" xfId="300" xr:uid="{00000000-0005-0000-0000-00004A000000}"/>
    <cellStyle name="60% - アクセント 2 2 4" xfId="449" xr:uid="{00000000-0005-0000-0000-00004A000000}"/>
    <cellStyle name="60% - アクセント 2 2 5" xfId="154" xr:uid="{00000000-0005-0000-0000-00004A000000}"/>
    <cellStyle name="60% - アクセント 2 3" xfId="59" xr:uid="{00000000-0005-0000-0000-000063000000}"/>
    <cellStyle name="60% - アクセント 2 3 2" xfId="223" xr:uid="{00000000-0005-0000-0000-000070000000}"/>
    <cellStyle name="60% - アクセント 2 3 2 2" xfId="371" xr:uid="{00000000-0005-0000-0000-000070000000}"/>
    <cellStyle name="60% - アクセント 2 3 3" xfId="270" xr:uid="{00000000-0005-0000-0000-000059000000}"/>
    <cellStyle name="60% - アクセント 2 3 4" xfId="419" xr:uid="{00000000-0005-0000-0000-000059000000}"/>
    <cellStyle name="60% - アクセント 2 3 5" xfId="125" xr:uid="{00000000-0005-0000-0000-000059000000}"/>
    <cellStyle name="60% - アクセント 2 4" xfId="174" xr:uid="{00000000-0005-0000-0000-0000A7000000}"/>
    <cellStyle name="60% - アクセント 2 4 2" xfId="321" xr:uid="{00000000-0005-0000-0000-0000A7000000}"/>
    <cellStyle name="60% - アクセント 2 5" xfId="242" xr:uid="{00000000-0005-0000-0000-000015010000}"/>
    <cellStyle name="60% - アクセント 2 6" xfId="391" xr:uid="{00000000-0005-0000-0000-000083010000}"/>
    <cellStyle name="60% - アクセント 2 7" xfId="477" xr:uid="{00000000-0005-0000-0000-0000F6000000}"/>
    <cellStyle name="60% - アクセント 2 8" xfId="497" xr:uid="{00000000-0005-0000-0000-00000A010000}"/>
    <cellStyle name="60% - アクセント 2 9" xfId="517" xr:uid="{00000000-0005-0000-0000-00001E010000}"/>
    <cellStyle name="60% - アクセント 3" xfId="102" builtinId="40" customBuiltin="1"/>
    <cellStyle name="60% - アクセント 3 10" xfId="539" xr:uid="{00000000-0005-0000-0000-000042010000}"/>
    <cellStyle name="60% - アクセント 3 2" xfId="42" xr:uid="{00000000-0005-0000-0000-000052000000}"/>
    <cellStyle name="60% - アクセント 3 2 2" xfId="206" xr:uid="{00000000-0005-0000-0000-00004B000000}"/>
    <cellStyle name="60% - アクセント 3 2 2 2" xfId="354" xr:uid="{00000000-0005-0000-0000-00004B000000}"/>
    <cellStyle name="60% - アクセント 3 2 3" xfId="303" xr:uid="{00000000-0005-0000-0000-00004B000000}"/>
    <cellStyle name="60% - アクセント 3 2 4" xfId="452" xr:uid="{00000000-0005-0000-0000-00004B000000}"/>
    <cellStyle name="60% - アクセント 3 2 5" xfId="157" xr:uid="{00000000-0005-0000-0000-00004B000000}"/>
    <cellStyle name="60% - アクセント 3 3" xfId="62" xr:uid="{00000000-0005-0000-0000-000066000000}"/>
    <cellStyle name="60% - アクセント 3 3 2" xfId="226" xr:uid="{00000000-0005-0000-0000-000071000000}"/>
    <cellStyle name="60% - アクセント 3 3 2 2" xfId="374" xr:uid="{00000000-0005-0000-0000-000071000000}"/>
    <cellStyle name="60% - アクセント 3 3 3" xfId="273" xr:uid="{00000000-0005-0000-0000-00005B000000}"/>
    <cellStyle name="60% - アクセント 3 3 4" xfId="422" xr:uid="{00000000-0005-0000-0000-00005B000000}"/>
    <cellStyle name="60% - アクセント 3 3 5" xfId="128" xr:uid="{00000000-0005-0000-0000-00005B000000}"/>
    <cellStyle name="60% - アクセント 3 4" xfId="177" xr:uid="{00000000-0005-0000-0000-0000AA000000}"/>
    <cellStyle name="60% - アクセント 3 4 2" xfId="324" xr:uid="{00000000-0005-0000-0000-0000AA000000}"/>
    <cellStyle name="60% - アクセント 3 5" xfId="245" xr:uid="{00000000-0005-0000-0000-00001B010000}"/>
    <cellStyle name="60% - アクセント 3 6" xfId="394" xr:uid="{00000000-0005-0000-0000-000086010000}"/>
    <cellStyle name="60% - アクセント 3 7" xfId="480" xr:uid="{00000000-0005-0000-0000-0000F7000000}"/>
    <cellStyle name="60% - アクセント 3 8" xfId="500" xr:uid="{00000000-0005-0000-0000-00000B010000}"/>
    <cellStyle name="60% - アクセント 3 9" xfId="520" xr:uid="{00000000-0005-0000-0000-00001F010000}"/>
    <cellStyle name="60% - アクセント 4" xfId="106" builtinId="44" customBuiltin="1"/>
    <cellStyle name="60% - アクセント 4 10" xfId="542" xr:uid="{00000000-0005-0000-0000-000044010000}"/>
    <cellStyle name="60% - アクセント 4 2" xfId="45" xr:uid="{00000000-0005-0000-0000-000055000000}"/>
    <cellStyle name="60% - アクセント 4 2 2" xfId="209" xr:uid="{00000000-0005-0000-0000-00004C000000}"/>
    <cellStyle name="60% - アクセント 4 2 2 2" xfId="357" xr:uid="{00000000-0005-0000-0000-00004C000000}"/>
    <cellStyle name="60% - アクセント 4 2 3" xfId="306" xr:uid="{00000000-0005-0000-0000-00004C000000}"/>
    <cellStyle name="60% - アクセント 4 2 4" xfId="455" xr:uid="{00000000-0005-0000-0000-00004C000000}"/>
    <cellStyle name="60% - アクセント 4 2 5" xfId="160" xr:uid="{00000000-0005-0000-0000-00004C000000}"/>
    <cellStyle name="60% - アクセント 4 3" xfId="65" xr:uid="{00000000-0005-0000-0000-000069000000}"/>
    <cellStyle name="60% - アクセント 4 3 2" xfId="229" xr:uid="{00000000-0005-0000-0000-000072000000}"/>
    <cellStyle name="60% - アクセント 4 3 2 2" xfId="377" xr:uid="{00000000-0005-0000-0000-000072000000}"/>
    <cellStyle name="60% - アクセント 4 3 3" xfId="276" xr:uid="{00000000-0005-0000-0000-00005D000000}"/>
    <cellStyle name="60% - アクセント 4 3 4" xfId="425" xr:uid="{00000000-0005-0000-0000-00005D000000}"/>
    <cellStyle name="60% - アクセント 4 3 5" xfId="131" xr:uid="{00000000-0005-0000-0000-00005D000000}"/>
    <cellStyle name="60% - アクセント 4 4" xfId="180" xr:uid="{00000000-0005-0000-0000-0000AD000000}"/>
    <cellStyle name="60% - アクセント 4 4 2" xfId="327" xr:uid="{00000000-0005-0000-0000-0000AD000000}"/>
    <cellStyle name="60% - アクセント 4 5" xfId="248" xr:uid="{00000000-0005-0000-0000-000021010000}"/>
    <cellStyle name="60% - アクセント 4 6" xfId="397" xr:uid="{00000000-0005-0000-0000-000089010000}"/>
    <cellStyle name="60% - アクセント 4 7" xfId="483" xr:uid="{00000000-0005-0000-0000-0000F8000000}"/>
    <cellStyle name="60% - アクセント 4 8" xfId="503" xr:uid="{00000000-0005-0000-0000-00000C010000}"/>
    <cellStyle name="60% - アクセント 4 9" xfId="523" xr:uid="{00000000-0005-0000-0000-000020010000}"/>
    <cellStyle name="60% - アクセント 5" xfId="110" builtinId="48" customBuiltin="1"/>
    <cellStyle name="60% - アクセント 5 10" xfId="545" xr:uid="{00000000-0005-0000-0000-000046010000}"/>
    <cellStyle name="60% - アクセント 5 2" xfId="48" xr:uid="{00000000-0005-0000-0000-000058000000}"/>
    <cellStyle name="60% - アクセント 5 2 2" xfId="212" xr:uid="{00000000-0005-0000-0000-00004D000000}"/>
    <cellStyle name="60% - アクセント 5 2 2 2" xfId="360" xr:uid="{00000000-0005-0000-0000-00004D000000}"/>
    <cellStyle name="60% - アクセント 5 2 3" xfId="309" xr:uid="{00000000-0005-0000-0000-00004D000000}"/>
    <cellStyle name="60% - アクセント 5 2 4" xfId="458" xr:uid="{00000000-0005-0000-0000-00004D000000}"/>
    <cellStyle name="60% - アクセント 5 2 5" xfId="163" xr:uid="{00000000-0005-0000-0000-00004D000000}"/>
    <cellStyle name="60% - アクセント 5 3" xfId="68" xr:uid="{00000000-0005-0000-0000-00006C000000}"/>
    <cellStyle name="60% - アクセント 5 3 2" xfId="232" xr:uid="{00000000-0005-0000-0000-000073000000}"/>
    <cellStyle name="60% - アクセント 5 3 2 2" xfId="380" xr:uid="{00000000-0005-0000-0000-000073000000}"/>
    <cellStyle name="60% - アクセント 5 3 3" xfId="279" xr:uid="{00000000-0005-0000-0000-00005F000000}"/>
    <cellStyle name="60% - アクセント 5 3 4" xfId="428" xr:uid="{00000000-0005-0000-0000-00005F000000}"/>
    <cellStyle name="60% - アクセント 5 3 5" xfId="134" xr:uid="{00000000-0005-0000-0000-00005F000000}"/>
    <cellStyle name="60% - アクセント 5 4" xfId="183" xr:uid="{00000000-0005-0000-0000-0000B0000000}"/>
    <cellStyle name="60% - アクセント 5 4 2" xfId="330" xr:uid="{00000000-0005-0000-0000-0000B0000000}"/>
    <cellStyle name="60% - アクセント 5 5" xfId="251" xr:uid="{00000000-0005-0000-0000-000027010000}"/>
    <cellStyle name="60% - アクセント 5 6" xfId="400" xr:uid="{00000000-0005-0000-0000-00008C010000}"/>
    <cellStyle name="60% - アクセント 5 7" xfId="486" xr:uid="{00000000-0005-0000-0000-0000F9000000}"/>
    <cellStyle name="60% - アクセント 5 8" xfId="506" xr:uid="{00000000-0005-0000-0000-00000D010000}"/>
    <cellStyle name="60% - アクセント 5 9" xfId="526" xr:uid="{00000000-0005-0000-0000-000021010000}"/>
    <cellStyle name="60% - アクセント 6" xfId="114" builtinId="52" customBuiltin="1"/>
    <cellStyle name="60% - アクセント 6 10" xfId="548" xr:uid="{00000000-0005-0000-0000-000048010000}"/>
    <cellStyle name="60% - アクセント 6 2" xfId="51" xr:uid="{00000000-0005-0000-0000-00005B000000}"/>
    <cellStyle name="60% - アクセント 6 2 2" xfId="215" xr:uid="{00000000-0005-0000-0000-00004E000000}"/>
    <cellStyle name="60% - アクセント 6 2 2 2" xfId="363" xr:uid="{00000000-0005-0000-0000-00004E000000}"/>
    <cellStyle name="60% - アクセント 6 2 3" xfId="312" xr:uid="{00000000-0005-0000-0000-00004E000000}"/>
    <cellStyle name="60% - アクセント 6 2 4" xfId="461" xr:uid="{00000000-0005-0000-0000-00004E000000}"/>
    <cellStyle name="60% - アクセント 6 2 5" xfId="166" xr:uid="{00000000-0005-0000-0000-00004E000000}"/>
    <cellStyle name="60% - アクセント 6 3" xfId="71" xr:uid="{00000000-0005-0000-0000-00006F000000}"/>
    <cellStyle name="60% - アクセント 6 3 2" xfId="235" xr:uid="{00000000-0005-0000-0000-000074000000}"/>
    <cellStyle name="60% - アクセント 6 3 2 2" xfId="383" xr:uid="{00000000-0005-0000-0000-000074000000}"/>
    <cellStyle name="60% - アクセント 6 3 3" xfId="282" xr:uid="{00000000-0005-0000-0000-000061000000}"/>
    <cellStyle name="60% - アクセント 6 3 4" xfId="431" xr:uid="{00000000-0005-0000-0000-000061000000}"/>
    <cellStyle name="60% - アクセント 6 3 5" xfId="137" xr:uid="{00000000-0005-0000-0000-000061000000}"/>
    <cellStyle name="60% - アクセント 6 4" xfId="186" xr:uid="{00000000-0005-0000-0000-0000B3000000}"/>
    <cellStyle name="60% - アクセント 6 4 2" xfId="333" xr:uid="{00000000-0005-0000-0000-0000B3000000}"/>
    <cellStyle name="60% - アクセント 6 5" xfId="254" xr:uid="{00000000-0005-0000-0000-00002D010000}"/>
    <cellStyle name="60% - アクセント 6 6" xfId="403" xr:uid="{00000000-0005-0000-0000-00008F010000}"/>
    <cellStyle name="60% - アクセント 6 7" xfId="489" xr:uid="{00000000-0005-0000-0000-0000FA000000}"/>
    <cellStyle name="60% - アクセント 6 8" xfId="509" xr:uid="{00000000-0005-0000-0000-00000E010000}"/>
    <cellStyle name="60% - アクセント 6 9" xfId="529" xr:uid="{00000000-0005-0000-0000-000022010000}"/>
    <cellStyle name="アクセント 1" xfId="91" builtinId="29" customBuiltin="1"/>
    <cellStyle name="アクセント 2" xfId="95" builtinId="33" customBuiltin="1"/>
    <cellStyle name="アクセント 3" xfId="99" builtinId="37" customBuiltin="1"/>
    <cellStyle name="アクセント 4" xfId="103" builtinId="41" customBuiltin="1"/>
    <cellStyle name="アクセント 5" xfId="107" builtinId="45" customBuiltin="1"/>
    <cellStyle name="アクセント 6" xfId="111" builtinId="49" customBuiltin="1"/>
    <cellStyle name="タイトル" xfId="74" builtinId="15" customBuiltin="1"/>
    <cellStyle name="チェック セル" xfId="86" builtinId="23" customBuiltin="1"/>
    <cellStyle name="どちらでもない" xfId="81" builtinId="28" customBuiltin="1"/>
    <cellStyle name="メモ" xfId="88" builtinId="10" customBuiltin="1"/>
    <cellStyle name="メモ 2" xfId="9" xr:uid="{00000000-0005-0000-0000-000031000000}"/>
    <cellStyle name="メモ 2 2" xfId="16" xr:uid="{00000000-0005-0000-0000-000038000000}"/>
    <cellStyle name="メモ 2 2 2" xfId="146" xr:uid="{00000000-0005-0000-0000-000006000000}"/>
    <cellStyle name="メモ 2 3" xfId="73" xr:uid="{00000000-0005-0000-0000-000071000000}"/>
    <cellStyle name="メモ 2 3 2" xfId="236" xr:uid="{00000000-0005-0000-0000-00002F000000}"/>
    <cellStyle name="メモ 2 3 2 2" xfId="385" xr:uid="{00000000-0005-0000-0000-00002F000000}"/>
    <cellStyle name="メモ 2 3 3" xfId="285" xr:uid="{00000000-0005-0000-0000-00002F000000}"/>
    <cellStyle name="メモ 2 3 4" xfId="434" xr:uid="{00000000-0005-0000-0000-00002F000000}"/>
    <cellStyle name="メモ 2 3 5" xfId="140" xr:uid="{00000000-0005-0000-0000-00002F000000}"/>
    <cellStyle name="メモ 2 4" xfId="115" xr:uid="{00000000-0005-0000-0000-00002F000000}"/>
    <cellStyle name="メモ 2 4 2" xfId="336" xr:uid="{00000000-0005-0000-0000-00002F000000}"/>
    <cellStyle name="メモ 2 5" xfId="258" xr:uid="{00000000-0005-0000-0000-00002F000000}"/>
    <cellStyle name="メモ 2 6" xfId="407" xr:uid="{00000000-0005-0000-0000-00002F000000}"/>
    <cellStyle name="メモ 3" xfId="53" xr:uid="{00000000-0005-0000-0000-00005D000000}"/>
    <cellStyle name="メモ 3 2" xfId="217" xr:uid="{00000000-0005-0000-0000-000041000000}"/>
    <cellStyle name="メモ 3 2 2" xfId="365" xr:uid="{00000000-0005-0000-0000-000041000000}"/>
    <cellStyle name="メモ 3 3" xfId="314" xr:uid="{00000000-0005-0000-0000-000041000000}"/>
    <cellStyle name="メモ 3 4" xfId="463" xr:uid="{00000000-0005-0000-0000-000041000000}"/>
    <cellStyle name="メモ 3 5" xfId="167" xr:uid="{00000000-0005-0000-0000-000041000000}"/>
    <cellStyle name="メモ 4" xfId="469" xr:uid="{00000000-0005-0000-0000-0000E7000000}"/>
    <cellStyle name="メモ 5" xfId="471" xr:uid="{00000000-0005-0000-0000-0000FB000000}"/>
    <cellStyle name="メモ 6" xfId="491" xr:uid="{00000000-0005-0000-0000-00000F010000}"/>
    <cellStyle name="メモ 7" xfId="511" xr:uid="{00000000-0005-0000-0000-000023010000}"/>
    <cellStyle name="リンク セル" xfId="85" builtinId="24" customBuiltin="1"/>
    <cellStyle name="悪い" xfId="80" builtinId="27" customBuiltin="1"/>
    <cellStyle name="計算" xfId="84" builtinId="22" customBuiltin="1"/>
    <cellStyle name="警告文" xfId="87" builtinId="11" customBuiltin="1"/>
    <cellStyle name="見出し 1" xfId="75" builtinId="16" customBuiltin="1"/>
    <cellStyle name="見出し 2" xfId="76" builtinId="17" customBuiltin="1"/>
    <cellStyle name="見出し 3" xfId="77" builtinId="18" customBuiltin="1"/>
    <cellStyle name="見出し 4" xfId="78" builtinId="19" customBuiltin="1"/>
    <cellStyle name="集計" xfId="90" builtinId="25" customBuiltin="1"/>
    <cellStyle name="出力" xfId="83" builtinId="21" customBuiltin="1"/>
    <cellStyle name="説明文" xfId="89" builtinId="53" customBuiltin="1"/>
    <cellStyle name="説明文 2" xfId="28" xr:uid="{00000000-0005-0000-0000-000044000000}"/>
    <cellStyle name="説明文 2 2" xfId="148" xr:uid="{00000000-0005-0000-0000-000012000000}"/>
    <cellStyle name="説明文 2 3" xfId="117" xr:uid="{00000000-0005-0000-0000-000032000000}"/>
    <cellStyle name="入力" xfId="82" builtinId="20" customBuiltin="1"/>
    <cellStyle name="標準" xfId="0" builtinId="0"/>
    <cellStyle name="標準 10" xfId="13" xr:uid="{00000000-0005-0000-0000-000035000000}"/>
    <cellStyle name="標準 10 2" xfId="29" xr:uid="{00000000-0005-0000-0000-000045000000}"/>
    <cellStyle name="標準 10 2 2" xfId="194" xr:uid="{00000000-0005-0000-0000-00003C000000}"/>
    <cellStyle name="標準 10 2 2 2" xfId="342" xr:uid="{00000000-0005-0000-0000-00003C000000}"/>
    <cellStyle name="標準 10 2 3" xfId="291" xr:uid="{00000000-0005-0000-0000-00003C000000}"/>
    <cellStyle name="標準 10 2 4" xfId="440" xr:uid="{00000000-0005-0000-0000-00003C000000}"/>
    <cellStyle name="標準 10 3" xfId="143" xr:uid="{00000000-0005-0000-0000-00003A000000}"/>
    <cellStyle name="標準 10 3 2" xfId="288" xr:uid="{00000000-0005-0000-0000-00003A000000}"/>
    <cellStyle name="標準 10 3 3" xfId="437" xr:uid="{00000000-0005-0000-0000-00003A000000}"/>
    <cellStyle name="標準 10 4" xfId="191" xr:uid="{00000000-0005-0000-0000-00003A000000}"/>
    <cellStyle name="標準 10 4 2" xfId="339" xr:uid="{00000000-0005-0000-0000-00003A000000}"/>
    <cellStyle name="標準 10 5" xfId="261" xr:uid="{00000000-0005-0000-0000-00003A000000}"/>
    <cellStyle name="標準 10 6" xfId="410" xr:uid="{00000000-0005-0000-0000-00003A000000}"/>
    <cellStyle name="標準 11" xfId="14" xr:uid="{00000000-0005-0000-0000-000036000000}"/>
    <cellStyle name="標準 11 2" xfId="30" xr:uid="{00000000-0005-0000-0000-000046000000}"/>
    <cellStyle name="標準 11 2 2" xfId="195" xr:uid="{00000000-0005-0000-0000-00003D000000}"/>
    <cellStyle name="標準 11 2 2 2" xfId="343" xr:uid="{00000000-0005-0000-0000-00003D000000}"/>
    <cellStyle name="標準 11 2 3" xfId="292" xr:uid="{00000000-0005-0000-0000-00003D000000}"/>
    <cellStyle name="標準 11 2 4" xfId="441" xr:uid="{00000000-0005-0000-0000-00003D000000}"/>
    <cellStyle name="標準 11 3" xfId="144" xr:uid="{00000000-0005-0000-0000-00003B000000}"/>
    <cellStyle name="標準 11 3 2" xfId="289" xr:uid="{00000000-0005-0000-0000-00003B000000}"/>
    <cellStyle name="標準 11 3 3" xfId="438" xr:uid="{00000000-0005-0000-0000-00003B000000}"/>
    <cellStyle name="標準 11 4" xfId="192" xr:uid="{00000000-0005-0000-0000-00003B000000}"/>
    <cellStyle name="標準 11 4 2" xfId="340" xr:uid="{00000000-0005-0000-0000-00003B000000}"/>
    <cellStyle name="標準 11 5" xfId="262" xr:uid="{00000000-0005-0000-0000-00003B000000}"/>
    <cellStyle name="標準 11 6" xfId="411" xr:uid="{00000000-0005-0000-0000-00003B000000}"/>
    <cellStyle name="標準 12" xfId="15" xr:uid="{00000000-0005-0000-0000-000037000000}"/>
    <cellStyle name="標準 12 2" xfId="31" xr:uid="{00000000-0005-0000-0000-000047000000}"/>
    <cellStyle name="標準 12 2 2" xfId="196" xr:uid="{00000000-0005-0000-0000-00003E000000}"/>
    <cellStyle name="標準 12 2 2 2" xfId="344" xr:uid="{00000000-0005-0000-0000-00003E000000}"/>
    <cellStyle name="標準 12 2 3" xfId="293" xr:uid="{00000000-0005-0000-0000-00003E000000}"/>
    <cellStyle name="標準 12 2 4" xfId="442" xr:uid="{00000000-0005-0000-0000-00003E000000}"/>
    <cellStyle name="標準 12 3" xfId="145" xr:uid="{00000000-0005-0000-0000-00003C000000}"/>
    <cellStyle name="標準 12 3 2" xfId="290" xr:uid="{00000000-0005-0000-0000-00003C000000}"/>
    <cellStyle name="標準 12 3 3" xfId="439" xr:uid="{00000000-0005-0000-0000-00003C000000}"/>
    <cellStyle name="標準 12 4" xfId="193" xr:uid="{00000000-0005-0000-0000-00003C000000}"/>
    <cellStyle name="標準 12 4 2" xfId="341" xr:uid="{00000000-0005-0000-0000-00003C000000}"/>
    <cellStyle name="標準 12 5" xfId="263" xr:uid="{00000000-0005-0000-0000-00003C000000}"/>
    <cellStyle name="標準 12 6" xfId="412" xr:uid="{00000000-0005-0000-0000-00003C000000}"/>
    <cellStyle name="標準 13" xfId="32" xr:uid="{00000000-0005-0000-0000-000048000000}"/>
    <cellStyle name="標準 13 2" xfId="197" xr:uid="{00000000-0005-0000-0000-00003F000000}"/>
    <cellStyle name="標準 13 2 2" xfId="345" xr:uid="{00000000-0005-0000-0000-00003F000000}"/>
    <cellStyle name="標準 13 3" xfId="294" xr:uid="{00000000-0005-0000-0000-00003F000000}"/>
    <cellStyle name="標準 13 4" xfId="443" xr:uid="{00000000-0005-0000-0000-00003F000000}"/>
    <cellStyle name="標準 14" xfId="33" xr:uid="{00000000-0005-0000-0000-000049000000}"/>
    <cellStyle name="標準 15" xfId="52" xr:uid="{00000000-0005-0000-0000-00005C000000}"/>
    <cellStyle name="標準 15 2" xfId="216" xr:uid="{00000000-0005-0000-0000-000042000000}"/>
    <cellStyle name="標準 15 2 2" xfId="364" xr:uid="{00000000-0005-0000-0000-000042000000}"/>
    <cellStyle name="標準 15 3" xfId="313" xr:uid="{00000000-0005-0000-0000-000042000000}"/>
    <cellStyle name="標準 15 4" xfId="462" xr:uid="{00000000-0005-0000-0000-000042000000}"/>
    <cellStyle name="標準 16" xfId="2" xr:uid="{00000000-0005-0000-0000-00002A000000}"/>
    <cellStyle name="標準 16 2" xfId="550" xr:uid="{4345F09D-FD3D-4CFC-B717-51CF7D780663}"/>
    <cellStyle name="標準 16 3" xfId="464" xr:uid="{00000000-0005-0000-0000-0000BE000000}"/>
    <cellStyle name="標準 17" xfId="465" xr:uid="{00000000-0005-0000-0000-0000BF000000}"/>
    <cellStyle name="標準 18" xfId="466" xr:uid="{00000000-0005-0000-0000-0000C0000000}"/>
    <cellStyle name="標準 19" xfId="468" xr:uid="{00000000-0005-0000-0000-0000E8000000}"/>
    <cellStyle name="標準 2" xfId="6" xr:uid="{00000000-0005-0000-0000-00002E000000}"/>
    <cellStyle name="標準 2 2" xfId="10" xr:uid="{00000000-0005-0000-0000-000032000000}"/>
    <cellStyle name="標準 2 2 2" xfId="18" xr:uid="{00000000-0005-0000-0000-00003A000000}"/>
    <cellStyle name="標準 2 3" xfId="19" xr:uid="{00000000-0005-0000-0000-00003B000000}"/>
    <cellStyle name="標準 2 4" xfId="17" xr:uid="{00000000-0005-0000-0000-000039000000}"/>
    <cellStyle name="標準 20" xfId="470" xr:uid="{00000000-0005-0000-0000-0000FC000000}"/>
    <cellStyle name="標準 21" xfId="490" xr:uid="{00000000-0005-0000-0000-000010010000}"/>
    <cellStyle name="標準 22" xfId="510" xr:uid="{00000000-0005-0000-0000-000024010000}"/>
    <cellStyle name="標準 23" xfId="530" xr:uid="{00000000-0005-0000-0000-000025010000}"/>
    <cellStyle name="標準 24" xfId="549" xr:uid="{00000000-0005-0000-0000-000059010000}"/>
    <cellStyle name="標準 25" xfId="551" xr:uid="{00000000-0005-0000-0000-00005B010000}"/>
    <cellStyle name="標準 26" xfId="552" xr:uid="{00000000-0005-0000-0000-00005C010000}"/>
    <cellStyle name="標準 27" xfId="553" xr:uid="{00000000-0005-0000-0000-00005D010000}"/>
    <cellStyle name="標準 28" xfId="554" xr:uid="{00000000-0005-0000-0000-00005E010000}"/>
    <cellStyle name="標準 29" xfId="555" xr:uid="{00000000-0005-0000-0000-00005F010000}"/>
    <cellStyle name="標準 3" xfId="3" xr:uid="{00000000-0005-0000-0000-00002B000000}"/>
    <cellStyle name="標準 3 2" xfId="8" xr:uid="{00000000-0005-0000-0000-000030000000}"/>
    <cellStyle name="標準 3 2 2" xfId="21" xr:uid="{00000000-0005-0000-0000-00003D000000}"/>
    <cellStyle name="標準 3 2 3" xfId="139" xr:uid="{00000000-0005-0000-0000-000030000000}"/>
    <cellStyle name="標準 3 2 3 2" xfId="284" xr:uid="{00000000-0005-0000-0000-000030000000}"/>
    <cellStyle name="標準 3 2 3 3" xfId="433" xr:uid="{00000000-0005-0000-0000-000030000000}"/>
    <cellStyle name="標準 3 2 4" xfId="188" xr:uid="{00000000-0005-0000-0000-000030000000}"/>
    <cellStyle name="標準 3 2 4 2" xfId="335" xr:uid="{00000000-0005-0000-0000-000030000000}"/>
    <cellStyle name="標準 3 2 5" xfId="257" xr:uid="{00000000-0005-0000-0000-000030000000}"/>
    <cellStyle name="標準 3 2 6" xfId="406" xr:uid="{00000000-0005-0000-0000-000030000000}"/>
    <cellStyle name="標準 3 3" xfId="20" xr:uid="{00000000-0005-0000-0000-00003C000000}"/>
    <cellStyle name="標準 3 4" xfId="72" xr:uid="{00000000-0005-0000-0000-000070000000}"/>
    <cellStyle name="標準 3 4 2" xfId="384" xr:uid="{00000000-0005-0000-0000-000030000000}"/>
    <cellStyle name="標準 3 5" xfId="467" xr:uid="{00000000-0005-0000-0000-000030000000}"/>
    <cellStyle name="標準 4" xfId="4" xr:uid="{00000000-0005-0000-0000-00002C000000}"/>
    <cellStyle name="標準 4 2" xfId="22" xr:uid="{00000000-0005-0000-0000-00003E000000}"/>
    <cellStyle name="標準 4 3" xfId="119" xr:uid="{D94618B3-76E4-4E8C-AC15-9E4FCFC3865E}"/>
    <cellStyle name="標準 4 3 2" xfId="264" xr:uid="{D94618B3-76E4-4E8C-AC15-9E4FCFC3865E}"/>
    <cellStyle name="標準 4 3 3" xfId="413" xr:uid="{D94618B3-76E4-4E8C-AC15-9E4FCFC3865E}"/>
    <cellStyle name="標準 4 4" xfId="168" xr:uid="{D94618B3-76E4-4E8C-AC15-9E4FCFC3865E}"/>
    <cellStyle name="標準 4 4 2" xfId="315" xr:uid="{D94618B3-76E4-4E8C-AC15-9E4FCFC3865E}"/>
    <cellStyle name="標準 4 5" xfId="255" xr:uid="{D94618B3-76E4-4E8C-AC15-9E4FCFC3865E}"/>
    <cellStyle name="標準 4 6" xfId="404" xr:uid="{D94618B3-76E4-4E8C-AC15-9E4FCFC3865E}"/>
    <cellStyle name="標準 5" xfId="5" xr:uid="{00000000-0005-0000-0000-00002D000000}"/>
    <cellStyle name="標準 5 2" xfId="23" xr:uid="{00000000-0005-0000-0000-00003F000000}"/>
    <cellStyle name="標準 6" xfId="7" xr:uid="{00000000-0005-0000-0000-00002F000000}"/>
    <cellStyle name="標準 6 2" xfId="24" xr:uid="{00000000-0005-0000-0000-000040000000}"/>
    <cellStyle name="標準 6 2 2" xfId="147" xr:uid="{00000000-0005-0000-0000-00000E000000}"/>
    <cellStyle name="標準 6 2 3" xfId="256" xr:uid="{00000000-0005-0000-0000-000033000000}"/>
    <cellStyle name="標準 6 2 4" xfId="405" xr:uid="{00000000-0005-0000-0000-000033000000}"/>
    <cellStyle name="標準 6 2 5" xfId="118" xr:uid="{00000000-0005-0000-0000-000033000000}"/>
    <cellStyle name="標準 6 3" xfId="138" xr:uid="{00000000-0005-0000-0000-000033000000}"/>
    <cellStyle name="標準 6 3 2" xfId="283" xr:uid="{00000000-0005-0000-0000-000033000000}"/>
    <cellStyle name="標準 6 3 3" xfId="432" xr:uid="{00000000-0005-0000-0000-000033000000}"/>
    <cellStyle name="標準 6 4" xfId="187" xr:uid="{00000000-0005-0000-0000-000033000000}"/>
    <cellStyle name="標準 6 4 2" xfId="334" xr:uid="{00000000-0005-0000-0000-000033000000}"/>
    <cellStyle name="標準 6 5" xfId="116" xr:uid="{A2BE0CAF-D7F5-43FA-A9CE-3487C479E55D}"/>
    <cellStyle name="標準 7" xfId="1" xr:uid="{00000000-0005-0000-0000-000001000000}"/>
    <cellStyle name="標準 7 2" xfId="25" xr:uid="{00000000-0005-0000-0000-000041000000}"/>
    <cellStyle name="標準 8" xfId="11" xr:uid="{00000000-0005-0000-0000-000033000000}"/>
    <cellStyle name="標準 8 2" xfId="26" xr:uid="{00000000-0005-0000-0000-000042000000}"/>
    <cellStyle name="標準 8 3" xfId="141" xr:uid="{00000000-0005-0000-0000-000038000000}"/>
    <cellStyle name="標準 8 3 2" xfId="286" xr:uid="{00000000-0005-0000-0000-000038000000}"/>
    <cellStyle name="標準 8 3 3" xfId="435" xr:uid="{00000000-0005-0000-0000-000038000000}"/>
    <cellStyle name="標準 8 4" xfId="189" xr:uid="{00000000-0005-0000-0000-000038000000}"/>
    <cellStyle name="標準 8 4 2" xfId="337" xr:uid="{00000000-0005-0000-0000-000038000000}"/>
    <cellStyle name="標準 8 5" xfId="259" xr:uid="{00000000-0005-0000-0000-000038000000}"/>
    <cellStyle name="標準 8 6" xfId="408" xr:uid="{00000000-0005-0000-0000-000038000000}"/>
    <cellStyle name="標準 9" xfId="12" xr:uid="{00000000-0005-0000-0000-000034000000}"/>
    <cellStyle name="標準 9 2" xfId="27" xr:uid="{00000000-0005-0000-0000-000043000000}"/>
    <cellStyle name="標準 9 3" xfId="142" xr:uid="{00000000-0005-0000-0000-000039000000}"/>
    <cellStyle name="標準 9 3 2" xfId="287" xr:uid="{00000000-0005-0000-0000-000039000000}"/>
    <cellStyle name="標準 9 3 3" xfId="436" xr:uid="{00000000-0005-0000-0000-000039000000}"/>
    <cellStyle name="標準 9 4" xfId="190" xr:uid="{00000000-0005-0000-0000-000039000000}"/>
    <cellStyle name="標準 9 4 2" xfId="338" xr:uid="{00000000-0005-0000-0000-000039000000}"/>
    <cellStyle name="標準 9 5" xfId="260" xr:uid="{00000000-0005-0000-0000-000039000000}"/>
    <cellStyle name="標準 9 6" xfId="409" xr:uid="{00000000-0005-0000-0000-000039000000}"/>
    <cellStyle name="良い" xfId="79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3B9F-65F0-4174-A967-A121C27495D4}">
  <dimension ref="A1:H685"/>
  <sheetViews>
    <sheetView topLeftCell="A7" workbookViewId="0">
      <selection activeCell="G15" sqref="G15"/>
    </sheetView>
  </sheetViews>
  <sheetFormatPr defaultRowHeight="18.75"/>
  <sheetData>
    <row r="1" spans="1:7">
      <c r="A1" s="13" t="s">
        <v>0</v>
      </c>
      <c r="B1" s="46" t="s">
        <v>1</v>
      </c>
      <c r="C1" s="47"/>
      <c r="D1" s="47"/>
      <c r="E1" s="47"/>
      <c r="F1" s="13"/>
      <c r="G1" s="13" t="s">
        <v>2</v>
      </c>
    </row>
    <row r="2" spans="1:7">
      <c r="A2" s="2"/>
      <c r="B2" s="4">
        <v>4</v>
      </c>
      <c r="C2" s="4">
        <v>13</v>
      </c>
      <c r="D2" s="4">
        <v>14</v>
      </c>
      <c r="E2" s="4">
        <v>22</v>
      </c>
      <c r="F2" s="5"/>
      <c r="G2" s="6">
        <v>17</v>
      </c>
    </row>
    <row r="3" spans="1:7">
      <c r="A3" s="15">
        <v>43879</v>
      </c>
      <c r="B3" s="27">
        <v>1.4081390640365594</v>
      </c>
      <c r="C3" s="16">
        <v>3.3898305084745752</v>
      </c>
      <c r="D3" s="26">
        <v>71</v>
      </c>
      <c r="E3" s="24">
        <v>0</v>
      </c>
      <c r="F3" s="13"/>
      <c r="G3" s="20">
        <v>3</v>
      </c>
    </row>
    <row r="4" spans="1:7">
      <c r="A4" s="15">
        <v>43880</v>
      </c>
      <c r="B4" s="27">
        <v>-2.5995593518634919</v>
      </c>
      <c r="C4" s="16">
        <v>3.3898305084745752</v>
      </c>
      <c r="D4" s="26">
        <v>59</v>
      </c>
      <c r="E4" s="24">
        <v>0</v>
      </c>
      <c r="F4" s="13"/>
      <c r="G4" s="20">
        <v>3</v>
      </c>
    </row>
    <row r="5" spans="1:7">
      <c r="A5" s="15">
        <v>43881</v>
      </c>
      <c r="B5" s="27">
        <v>-1.2414197724173814</v>
      </c>
      <c r="C5" s="16">
        <v>3.3898305084745752</v>
      </c>
      <c r="D5" s="26">
        <v>80</v>
      </c>
      <c r="E5" s="24">
        <v>0</v>
      </c>
      <c r="F5" s="13"/>
      <c r="G5" s="20">
        <v>0</v>
      </c>
    </row>
    <row r="6" spans="1:7">
      <c r="A6" s="17">
        <v>43882</v>
      </c>
      <c r="B6" s="27">
        <v>-2.7245920220390407</v>
      </c>
      <c r="C6" s="16">
        <v>3.3898305084745752</v>
      </c>
      <c r="D6" s="26">
        <v>121</v>
      </c>
      <c r="E6" s="24">
        <v>0</v>
      </c>
      <c r="F6" s="13"/>
      <c r="G6" s="20">
        <v>3</v>
      </c>
    </row>
    <row r="7" spans="1:7">
      <c r="A7" s="15">
        <v>43883</v>
      </c>
      <c r="B7" s="27">
        <v>-5.6914646177669823</v>
      </c>
      <c r="C7" s="16">
        <v>3.3898305084745752</v>
      </c>
      <c r="D7" s="26">
        <v>94</v>
      </c>
      <c r="E7" s="24">
        <v>0</v>
      </c>
      <c r="F7" s="13"/>
      <c r="G7" s="20">
        <v>1</v>
      </c>
    </row>
    <row r="8" spans="1:7">
      <c r="A8" s="15">
        <v>43884</v>
      </c>
      <c r="B8" s="27">
        <v>-2.8596410324506429</v>
      </c>
      <c r="C8" s="16">
        <v>3.3898305084745752</v>
      </c>
      <c r="D8" s="26">
        <v>69</v>
      </c>
      <c r="E8" s="24">
        <v>0</v>
      </c>
      <c r="F8" s="13"/>
      <c r="G8" s="20">
        <v>0</v>
      </c>
    </row>
    <row r="9" spans="1:7">
      <c r="A9" s="15">
        <v>43885</v>
      </c>
      <c r="B9" s="27">
        <v>-24.538633477953333</v>
      </c>
      <c r="C9" s="16">
        <v>3.3898305084745752</v>
      </c>
      <c r="D9" s="26">
        <v>44</v>
      </c>
      <c r="E9" s="24">
        <v>0</v>
      </c>
      <c r="F9" s="13"/>
      <c r="G9" s="20">
        <v>3</v>
      </c>
    </row>
    <row r="10" spans="1:7">
      <c r="A10" s="15">
        <v>43886</v>
      </c>
      <c r="B10" s="27">
        <v>-1.8871117024353561</v>
      </c>
      <c r="C10" s="16">
        <v>3.3898305084745752</v>
      </c>
      <c r="D10" s="26">
        <v>42</v>
      </c>
      <c r="E10" s="24">
        <v>0</v>
      </c>
      <c r="F10" s="13"/>
      <c r="G10" s="20">
        <v>0</v>
      </c>
    </row>
    <row r="11" spans="1:7">
      <c r="A11" s="15">
        <v>43887</v>
      </c>
      <c r="B11" s="27">
        <v>-5.9144145289219301</v>
      </c>
      <c r="C11" s="16">
        <v>3.3898305084745752</v>
      </c>
      <c r="D11" s="26">
        <v>70</v>
      </c>
      <c r="E11" s="24">
        <v>0</v>
      </c>
      <c r="F11" s="13"/>
      <c r="G11" s="20">
        <v>3</v>
      </c>
    </row>
    <row r="12" spans="1:7">
      <c r="A12" s="15">
        <v>43888</v>
      </c>
      <c r="B12" s="27">
        <v>-7.7363422796981274</v>
      </c>
      <c r="C12" s="16">
        <v>3.3898305084745748</v>
      </c>
      <c r="D12" s="26">
        <v>81</v>
      </c>
      <c r="E12" s="24">
        <v>0</v>
      </c>
      <c r="F12" s="13"/>
      <c r="G12" s="20">
        <v>1</v>
      </c>
    </row>
    <row r="13" spans="1:7">
      <c r="A13" s="15">
        <v>43889</v>
      </c>
      <c r="B13" s="27">
        <v>-11.108237377749756</v>
      </c>
      <c r="C13" s="16">
        <v>3.3898305084745748</v>
      </c>
      <c r="D13" s="26">
        <v>89</v>
      </c>
      <c r="E13" s="24">
        <v>0</v>
      </c>
      <c r="F13" s="13"/>
      <c r="G13" s="20">
        <v>0</v>
      </c>
    </row>
    <row r="14" spans="1:7">
      <c r="A14" s="15">
        <v>43890</v>
      </c>
      <c r="B14" s="27">
        <v>-19.680332935791846</v>
      </c>
      <c r="C14" s="16">
        <v>3.3898305084745748</v>
      </c>
      <c r="D14" s="26">
        <v>82</v>
      </c>
      <c r="E14" s="24">
        <v>0</v>
      </c>
      <c r="F14" s="13"/>
      <c r="G14" s="20">
        <v>1</v>
      </c>
    </row>
    <row r="15" spans="1:7">
      <c r="A15" s="15">
        <v>43891</v>
      </c>
      <c r="B15" s="27">
        <v>-24.048882781699419</v>
      </c>
      <c r="C15" s="16">
        <v>3.3898305084745752</v>
      </c>
      <c r="D15" s="26">
        <v>35</v>
      </c>
      <c r="E15" s="24">
        <v>0</v>
      </c>
      <c r="F15" s="13"/>
      <c r="G15" s="20">
        <v>2</v>
      </c>
    </row>
    <row r="16" spans="1:7">
      <c r="A16" s="15">
        <v>43892</v>
      </c>
      <c r="B16" s="27">
        <v>-13.262253961286733</v>
      </c>
      <c r="C16" s="16">
        <v>3.3898305084745752</v>
      </c>
      <c r="D16" s="26">
        <v>26</v>
      </c>
      <c r="E16" s="24">
        <v>0</v>
      </c>
      <c r="F16" s="13"/>
      <c r="G16" s="20">
        <v>0</v>
      </c>
    </row>
    <row r="17" spans="1:8">
      <c r="A17" s="15">
        <v>43893</v>
      </c>
      <c r="B17" s="27">
        <v>-11.9336423323885</v>
      </c>
      <c r="C17" s="16">
        <v>3.3898305084745748</v>
      </c>
      <c r="D17" s="26">
        <v>27</v>
      </c>
      <c r="E17" s="24">
        <v>0</v>
      </c>
      <c r="F17" s="13"/>
      <c r="G17" s="20">
        <v>1</v>
      </c>
    </row>
    <row r="18" spans="1:8">
      <c r="A18" s="15">
        <v>43894</v>
      </c>
      <c r="B18" s="27">
        <v>-16.786346941980632</v>
      </c>
      <c r="C18" s="16">
        <v>3.3898305084745752</v>
      </c>
      <c r="D18" s="26">
        <v>40</v>
      </c>
      <c r="E18" s="24">
        <v>0</v>
      </c>
      <c r="F18" s="13"/>
      <c r="G18" s="20">
        <v>4</v>
      </c>
    </row>
    <row r="19" spans="1:8">
      <c r="A19" s="19">
        <v>43895</v>
      </c>
      <c r="B19" s="27">
        <v>-14.791306134039411</v>
      </c>
      <c r="C19" s="16">
        <v>3.3898305084745752</v>
      </c>
      <c r="D19" s="26">
        <v>38</v>
      </c>
      <c r="E19" s="24">
        <v>0</v>
      </c>
      <c r="F19" s="13"/>
      <c r="G19" s="20">
        <v>8</v>
      </c>
    </row>
    <row r="20" spans="1:8">
      <c r="A20" s="18">
        <v>43896</v>
      </c>
      <c r="B20" s="27">
        <v>-16.285056564832402</v>
      </c>
      <c r="C20" s="16">
        <v>3.3898305084745748</v>
      </c>
      <c r="D20" s="26">
        <v>72</v>
      </c>
      <c r="E20" s="24">
        <v>0</v>
      </c>
      <c r="F20" s="13"/>
      <c r="G20" s="20">
        <v>6</v>
      </c>
      <c r="H20" s="14"/>
    </row>
    <row r="21" spans="1:8">
      <c r="A21" s="15">
        <v>43897</v>
      </c>
      <c r="B21" s="27">
        <v>-22.220825970490349</v>
      </c>
      <c r="C21" s="16">
        <v>3.3898305084745748</v>
      </c>
      <c r="D21" s="26">
        <v>67</v>
      </c>
      <c r="E21" s="24">
        <v>0</v>
      </c>
      <c r="F21" s="13"/>
      <c r="G21" s="20">
        <v>6</v>
      </c>
      <c r="H21" s="14">
        <f t="shared" ref="H21:H84" si="0">SUM(G18:G24)/7</f>
        <v>3.8571428571428572</v>
      </c>
    </row>
    <row r="22" spans="1:8">
      <c r="A22" s="15">
        <v>43898</v>
      </c>
      <c r="B22" s="27">
        <v>-27.570849360816819</v>
      </c>
      <c r="C22" s="16">
        <v>3.3898305084745752</v>
      </c>
      <c r="D22" s="26">
        <v>39</v>
      </c>
      <c r="E22" s="24">
        <v>0</v>
      </c>
      <c r="F22" s="13"/>
      <c r="G22" s="20">
        <v>0</v>
      </c>
      <c r="H22" s="14">
        <f t="shared" si="0"/>
        <v>4.1428571428571432</v>
      </c>
    </row>
    <row r="23" spans="1:8">
      <c r="A23" s="15">
        <v>43899</v>
      </c>
      <c r="B23" s="27">
        <v>-12.948571833389874</v>
      </c>
      <c r="C23" s="16">
        <v>3.3898305084745752</v>
      </c>
      <c r="D23" s="26">
        <v>33</v>
      </c>
      <c r="E23" s="24">
        <v>0</v>
      </c>
      <c r="F23" s="13"/>
      <c r="G23" s="20">
        <v>0</v>
      </c>
      <c r="H23" s="14">
        <f t="shared" si="0"/>
        <v>3.2857142857142856</v>
      </c>
    </row>
    <row r="24" spans="1:8">
      <c r="A24" s="15">
        <v>43900</v>
      </c>
      <c r="B24" s="27">
        <v>-13.48907415977324</v>
      </c>
      <c r="C24" s="16">
        <v>3.3898305084745752</v>
      </c>
      <c r="D24" s="26">
        <v>39</v>
      </c>
      <c r="E24" s="24">
        <v>0</v>
      </c>
      <c r="F24" s="13"/>
      <c r="G24" s="20">
        <v>3</v>
      </c>
      <c r="H24" s="14">
        <f t="shared" si="0"/>
        <v>2.7142857142857144</v>
      </c>
    </row>
    <row r="25" spans="1:8">
      <c r="A25" s="15">
        <v>43901</v>
      </c>
      <c r="B25" s="27">
        <v>-13.749064571632136</v>
      </c>
      <c r="C25" s="16">
        <v>3.3898305084745752</v>
      </c>
      <c r="D25" s="26">
        <v>46</v>
      </c>
      <c r="E25" s="24">
        <v>0</v>
      </c>
      <c r="F25" s="13"/>
      <c r="G25" s="20">
        <v>6</v>
      </c>
      <c r="H25" s="14">
        <f t="shared" si="0"/>
        <v>3.2857142857142856</v>
      </c>
    </row>
    <row r="26" spans="1:8">
      <c r="A26" s="15">
        <v>43902</v>
      </c>
      <c r="B26" s="27">
        <v>-13.062695921496195</v>
      </c>
      <c r="C26" s="16">
        <v>3.3898305084745752</v>
      </c>
      <c r="D26" s="26">
        <v>51</v>
      </c>
      <c r="E26" s="24">
        <v>0</v>
      </c>
      <c r="F26" s="13"/>
      <c r="G26" s="20">
        <v>2</v>
      </c>
      <c r="H26" s="14">
        <f t="shared" si="0"/>
        <v>3.7142857142857144</v>
      </c>
    </row>
    <row r="27" spans="1:8">
      <c r="A27" s="15">
        <v>43903</v>
      </c>
      <c r="B27" s="27">
        <v>-13.770496496539483</v>
      </c>
      <c r="C27" s="16">
        <v>3.3898305084745752</v>
      </c>
      <c r="D27" s="26">
        <v>78</v>
      </c>
      <c r="E27" s="24">
        <v>0</v>
      </c>
      <c r="F27" s="13"/>
      <c r="G27" s="20">
        <v>2</v>
      </c>
      <c r="H27" s="14">
        <f t="shared" si="0"/>
        <v>3.7142857142857144</v>
      </c>
    </row>
    <row r="28" spans="1:8">
      <c r="A28" s="15">
        <v>43904</v>
      </c>
      <c r="B28" s="27">
        <v>-23.414816329588952</v>
      </c>
      <c r="C28" s="16">
        <v>3.3898305084745752</v>
      </c>
      <c r="D28" s="26">
        <v>76</v>
      </c>
      <c r="E28" s="24">
        <v>0</v>
      </c>
      <c r="F28" s="13"/>
      <c r="G28" s="20">
        <v>10</v>
      </c>
      <c r="H28" s="14">
        <f t="shared" si="0"/>
        <v>5</v>
      </c>
    </row>
    <row r="29" spans="1:8">
      <c r="A29" s="15">
        <v>43905</v>
      </c>
      <c r="B29" s="27">
        <v>-20.982678651201091</v>
      </c>
      <c r="C29" s="16">
        <v>3.3898305084745748</v>
      </c>
      <c r="D29" s="26">
        <v>44</v>
      </c>
      <c r="E29" s="24">
        <v>0</v>
      </c>
      <c r="F29" s="13"/>
      <c r="G29" s="20">
        <v>3</v>
      </c>
      <c r="H29" s="14">
        <f t="shared" si="0"/>
        <v>5.4285714285714288</v>
      </c>
    </row>
    <row r="30" spans="1:8">
      <c r="A30" s="15">
        <v>43906</v>
      </c>
      <c r="B30" s="27">
        <v>-9.6174429173387335</v>
      </c>
      <c r="C30" s="16">
        <v>3.3898305084745748</v>
      </c>
      <c r="D30" s="26">
        <v>35</v>
      </c>
      <c r="E30" s="24">
        <v>0</v>
      </c>
      <c r="F30" s="13"/>
      <c r="G30" s="20">
        <v>0</v>
      </c>
      <c r="H30" s="14">
        <f t="shared" si="0"/>
        <v>6.1428571428571432</v>
      </c>
    </row>
    <row r="31" spans="1:8">
      <c r="A31" s="15">
        <v>43907</v>
      </c>
      <c r="B31" s="27">
        <v>-9.9109880256840395</v>
      </c>
      <c r="C31" s="16">
        <v>3.3898305084745752</v>
      </c>
      <c r="D31" s="26">
        <v>39</v>
      </c>
      <c r="E31" s="24">
        <v>0</v>
      </c>
      <c r="F31" s="8"/>
      <c r="G31" s="20">
        <v>12</v>
      </c>
      <c r="H31" s="14">
        <f t="shared" si="0"/>
        <v>7.4285714285714288</v>
      </c>
    </row>
    <row r="32" spans="1:8">
      <c r="A32" s="15">
        <v>43908</v>
      </c>
      <c r="B32" s="27">
        <v>-12.238380403937905</v>
      </c>
      <c r="C32" s="16">
        <v>3.3898305084745752</v>
      </c>
      <c r="D32" s="26">
        <v>69</v>
      </c>
      <c r="E32" s="24">
        <v>0</v>
      </c>
      <c r="F32" s="13"/>
      <c r="G32" s="20">
        <v>9</v>
      </c>
      <c r="H32" s="14">
        <f t="shared" si="0"/>
        <v>7</v>
      </c>
    </row>
    <row r="33" spans="1:8">
      <c r="A33" s="15">
        <v>43909</v>
      </c>
      <c r="B33" s="27">
        <v>-6.6527893103806637</v>
      </c>
      <c r="C33" s="16">
        <v>3.3898305084745748</v>
      </c>
      <c r="D33" s="26">
        <v>85</v>
      </c>
      <c r="E33" s="24">
        <v>0</v>
      </c>
      <c r="F33" s="13"/>
      <c r="G33" s="20">
        <v>7</v>
      </c>
      <c r="H33" s="14">
        <f t="shared" si="0"/>
        <v>7</v>
      </c>
    </row>
    <row r="34" spans="1:8">
      <c r="A34" s="15">
        <v>43910</v>
      </c>
      <c r="B34" s="27">
        <v>-31.628873277467957</v>
      </c>
      <c r="C34" s="16">
        <v>3.3898305084745752</v>
      </c>
      <c r="D34" s="26">
        <v>69</v>
      </c>
      <c r="E34" s="24">
        <v>0</v>
      </c>
      <c r="F34" s="13"/>
      <c r="G34" s="20">
        <v>11</v>
      </c>
      <c r="H34" s="14">
        <f t="shared" si="0"/>
        <v>9.2857142857142865</v>
      </c>
    </row>
    <row r="35" spans="1:8">
      <c r="A35" s="15">
        <v>43911</v>
      </c>
      <c r="B35" s="27">
        <v>-19.776687313847557</v>
      </c>
      <c r="C35" s="16">
        <v>3.3898305084745752</v>
      </c>
      <c r="D35" s="26">
        <v>74</v>
      </c>
      <c r="E35" s="24">
        <v>0</v>
      </c>
      <c r="F35" s="13"/>
      <c r="G35" s="20">
        <v>7</v>
      </c>
      <c r="H35" s="14">
        <f t="shared" si="0"/>
        <v>10.142857142857142</v>
      </c>
    </row>
    <row r="36" spans="1:8">
      <c r="A36" s="15">
        <v>43912</v>
      </c>
      <c r="B36" s="27">
        <v>-21.211471994345711</v>
      </c>
      <c r="C36" s="16">
        <v>3.3898305084745752</v>
      </c>
      <c r="D36" s="26">
        <v>55</v>
      </c>
      <c r="E36" s="24">
        <v>0</v>
      </c>
      <c r="F36" s="13"/>
      <c r="G36" s="20">
        <v>3</v>
      </c>
      <c r="H36" s="14">
        <f t="shared" si="0"/>
        <v>14.714285714285714</v>
      </c>
    </row>
    <row r="37" spans="1:8">
      <c r="A37" s="15">
        <v>43913</v>
      </c>
      <c r="B37" s="27">
        <v>-9.7189240155256229</v>
      </c>
      <c r="C37" s="16">
        <v>3.3898305084745752</v>
      </c>
      <c r="D37" s="26">
        <v>32</v>
      </c>
      <c r="E37" s="24">
        <v>0</v>
      </c>
      <c r="F37" s="13"/>
      <c r="G37" s="20">
        <v>16</v>
      </c>
      <c r="H37" s="14">
        <f t="shared" si="0"/>
        <v>20.285714285714285</v>
      </c>
    </row>
    <row r="38" spans="1:8">
      <c r="A38" s="15">
        <v>43914</v>
      </c>
      <c r="B38" s="27">
        <v>-8.0433996644877652</v>
      </c>
      <c r="C38" s="16">
        <v>3.3898305084745752</v>
      </c>
      <c r="D38" s="26">
        <v>46</v>
      </c>
      <c r="E38" s="24">
        <v>0</v>
      </c>
      <c r="F38" s="13"/>
      <c r="G38" s="20">
        <v>18</v>
      </c>
      <c r="H38" s="14">
        <f t="shared" si="0"/>
        <v>24.428571428571427</v>
      </c>
    </row>
    <row r="39" spans="1:8">
      <c r="A39" s="15">
        <v>43915</v>
      </c>
      <c r="B39" s="27">
        <v>-9.4462507822079012</v>
      </c>
      <c r="C39" s="16">
        <v>3.3898305084745752</v>
      </c>
      <c r="D39" s="26">
        <v>81</v>
      </c>
      <c r="E39" s="24">
        <v>0</v>
      </c>
      <c r="F39" s="13"/>
      <c r="G39" s="20">
        <v>41</v>
      </c>
      <c r="H39" s="14">
        <f t="shared" si="0"/>
        <v>32.571428571428569</v>
      </c>
    </row>
    <row r="40" spans="1:8">
      <c r="A40" s="15">
        <v>43916</v>
      </c>
      <c r="B40" s="27">
        <v>-15.529303894986251</v>
      </c>
      <c r="C40" s="16">
        <v>3.3898305084745752</v>
      </c>
      <c r="D40" s="26">
        <v>74</v>
      </c>
      <c r="E40" s="24">
        <v>0</v>
      </c>
      <c r="F40" s="13"/>
      <c r="G40" s="20">
        <v>46</v>
      </c>
      <c r="H40" s="14">
        <f t="shared" si="0"/>
        <v>42.428571428571431</v>
      </c>
    </row>
    <row r="41" spans="1:8">
      <c r="A41" s="15">
        <v>43917</v>
      </c>
      <c r="B41" s="27">
        <v>-26.758220558276385</v>
      </c>
      <c r="C41" s="16">
        <v>3.3898305084745752</v>
      </c>
      <c r="D41" s="26">
        <v>68</v>
      </c>
      <c r="E41" s="24">
        <v>0</v>
      </c>
      <c r="F41" s="13"/>
      <c r="G41" s="20">
        <v>40</v>
      </c>
      <c r="H41" s="14">
        <f t="shared" si="0"/>
        <v>41.857142857142854</v>
      </c>
    </row>
    <row r="42" spans="1:8">
      <c r="A42" s="15">
        <v>43918</v>
      </c>
      <c r="B42" s="27">
        <v>-61.2634326354503</v>
      </c>
      <c r="C42" s="16">
        <v>3.3898305084745752</v>
      </c>
      <c r="D42" s="26">
        <v>45</v>
      </c>
      <c r="E42" s="24">
        <v>0</v>
      </c>
      <c r="F42" s="13"/>
      <c r="G42" s="20">
        <v>64</v>
      </c>
      <c r="H42" s="14">
        <f t="shared" si="0"/>
        <v>50.428571428571431</v>
      </c>
    </row>
    <row r="43" spans="1:8">
      <c r="A43" s="15">
        <v>43919</v>
      </c>
      <c r="B43" s="27">
        <v>-69.587836831697956</v>
      </c>
      <c r="C43" s="16">
        <v>3.3898305084745752</v>
      </c>
      <c r="D43" s="26">
        <v>22</v>
      </c>
      <c r="E43" s="24">
        <v>0</v>
      </c>
      <c r="F43" s="13"/>
      <c r="G43" s="20">
        <v>72</v>
      </c>
      <c r="H43" s="14">
        <f t="shared" si="0"/>
        <v>54.142857142857146</v>
      </c>
    </row>
    <row r="44" spans="1:8">
      <c r="A44" s="15">
        <v>43920</v>
      </c>
      <c r="B44" s="27">
        <v>-30.566844419872474</v>
      </c>
      <c r="C44" s="16">
        <v>3.3898305084745748</v>
      </c>
      <c r="D44" s="26">
        <v>23</v>
      </c>
      <c r="E44" s="24">
        <v>0</v>
      </c>
      <c r="F44" s="13"/>
      <c r="G44" s="20">
        <v>12</v>
      </c>
      <c r="H44" s="14">
        <f t="shared" si="0"/>
        <v>61.571428571428569</v>
      </c>
    </row>
    <row r="45" spans="1:8">
      <c r="A45" s="15">
        <v>43921</v>
      </c>
      <c r="B45" s="27">
        <v>-31.160662636663389</v>
      </c>
      <c r="C45" s="16">
        <v>3.3898305084745752</v>
      </c>
      <c r="D45" s="26">
        <v>28</v>
      </c>
      <c r="E45" s="24">
        <v>0</v>
      </c>
      <c r="F45" s="13"/>
      <c r="G45" s="20">
        <v>78</v>
      </c>
      <c r="H45" s="14">
        <f t="shared" si="0"/>
        <v>69</v>
      </c>
    </row>
    <row r="46" spans="1:8">
      <c r="A46" s="15">
        <v>43922</v>
      </c>
      <c r="B46" s="27">
        <v>-37.371690916707614</v>
      </c>
      <c r="C46" s="16">
        <v>3.3898305084745752</v>
      </c>
      <c r="D46" s="26">
        <v>14</v>
      </c>
      <c r="E46" s="24">
        <v>0</v>
      </c>
      <c r="F46" s="13"/>
      <c r="G46" s="20">
        <v>67</v>
      </c>
      <c r="H46" s="14">
        <f t="shared" si="0"/>
        <v>76.714285714285708</v>
      </c>
    </row>
    <row r="47" spans="1:8">
      <c r="A47" s="15">
        <v>43923</v>
      </c>
      <c r="B47" s="27">
        <v>-38.7311012547665</v>
      </c>
      <c r="C47" s="16">
        <v>3.3898305084745748</v>
      </c>
      <c r="D47" s="26">
        <v>13</v>
      </c>
      <c r="E47" s="24">
        <v>0</v>
      </c>
      <c r="F47" s="13"/>
      <c r="G47" s="20">
        <v>98</v>
      </c>
      <c r="H47" s="14">
        <f t="shared" si="0"/>
        <v>86.571428571428569</v>
      </c>
    </row>
    <row r="48" spans="1:8">
      <c r="A48" s="15">
        <v>43924</v>
      </c>
      <c r="B48" s="27">
        <v>-41.810315379765491</v>
      </c>
      <c r="C48" s="16">
        <v>3.3898305084745752</v>
      </c>
      <c r="D48" s="26">
        <v>20</v>
      </c>
      <c r="E48" s="24">
        <v>0</v>
      </c>
      <c r="F48" s="13"/>
      <c r="G48" s="20">
        <v>92</v>
      </c>
      <c r="H48" s="14">
        <f t="shared" si="0"/>
        <v>97</v>
      </c>
    </row>
    <row r="49" spans="1:8">
      <c r="A49" s="15">
        <v>43925</v>
      </c>
      <c r="B49" s="27">
        <v>-70.978912089215811</v>
      </c>
      <c r="C49" s="16">
        <v>3.3898305084745748</v>
      </c>
      <c r="D49" s="26">
        <v>27</v>
      </c>
      <c r="E49" s="24">
        <v>0</v>
      </c>
      <c r="F49" s="13"/>
      <c r="G49" s="20">
        <v>118</v>
      </c>
      <c r="H49" s="14">
        <f t="shared" si="0"/>
        <v>98.285714285714292</v>
      </c>
    </row>
    <row r="50" spans="1:8">
      <c r="A50" s="15">
        <v>43926</v>
      </c>
      <c r="B50" s="27">
        <v>-75.516100170163185</v>
      </c>
      <c r="C50" s="16">
        <v>3.3898305084745752</v>
      </c>
      <c r="D50" s="26">
        <v>27</v>
      </c>
      <c r="E50" s="24">
        <v>0</v>
      </c>
      <c r="F50" s="13"/>
      <c r="G50" s="20">
        <v>141</v>
      </c>
      <c r="H50" s="14">
        <f t="shared" si="0"/>
        <v>111</v>
      </c>
    </row>
    <row r="51" spans="1:8">
      <c r="A51" s="15">
        <v>43927</v>
      </c>
      <c r="B51" s="27">
        <v>-41.984143532761891</v>
      </c>
      <c r="C51" s="16">
        <v>3.3898305084745752</v>
      </c>
      <c r="D51" s="26">
        <v>16</v>
      </c>
      <c r="E51" s="24">
        <v>0</v>
      </c>
      <c r="F51" s="13"/>
      <c r="G51" s="20">
        <v>85</v>
      </c>
      <c r="H51" s="14">
        <f t="shared" si="0"/>
        <v>123.14285714285714</v>
      </c>
    </row>
    <row r="52" spans="1:8">
      <c r="A52" s="15">
        <v>43928</v>
      </c>
      <c r="B52" s="27">
        <v>-44.863155839648286</v>
      </c>
      <c r="C52" s="16">
        <v>3.3898305084745748</v>
      </c>
      <c r="D52" s="26">
        <v>11</v>
      </c>
      <c r="E52" s="24">
        <v>0</v>
      </c>
      <c r="F52" s="13"/>
      <c r="G52" s="20">
        <v>87</v>
      </c>
      <c r="H52" s="14">
        <f t="shared" si="0"/>
        <v>138.42857142857142</v>
      </c>
    </row>
    <row r="53" spans="1:8">
      <c r="A53" s="15">
        <v>43929</v>
      </c>
      <c r="B53" s="27">
        <v>-61.898283199480161</v>
      </c>
      <c r="C53" s="16">
        <v>3.3898305084745752</v>
      </c>
      <c r="D53" s="26">
        <v>9</v>
      </c>
      <c r="E53" s="24">
        <v>0</v>
      </c>
      <c r="F53" s="13"/>
      <c r="G53" s="20">
        <v>156</v>
      </c>
      <c r="H53" s="14">
        <f t="shared" si="0"/>
        <v>149.85714285714286</v>
      </c>
    </row>
    <row r="54" spans="1:8">
      <c r="A54" s="15">
        <v>43930</v>
      </c>
      <c r="B54" s="27">
        <v>-65.305068386355885</v>
      </c>
      <c r="C54" s="16">
        <v>3.3898305084745752</v>
      </c>
      <c r="D54" s="26">
        <v>14</v>
      </c>
      <c r="E54" s="24">
        <v>0</v>
      </c>
      <c r="F54" s="13"/>
      <c r="G54" s="20">
        <v>183</v>
      </c>
      <c r="H54" s="14">
        <f t="shared" si="0"/>
        <v>154.57142857142858</v>
      </c>
    </row>
    <row r="55" spans="1:8">
      <c r="A55" s="15">
        <v>43931</v>
      </c>
      <c r="B55" s="27">
        <v>-67.442054148944408</v>
      </c>
      <c r="C55" s="16">
        <v>3.3898305084745752</v>
      </c>
      <c r="D55" s="26">
        <v>27</v>
      </c>
      <c r="E55" s="24">
        <v>0</v>
      </c>
      <c r="F55" s="13"/>
      <c r="G55" s="20">
        <v>199</v>
      </c>
      <c r="H55" s="14">
        <f t="shared" si="0"/>
        <v>156.71428571428572</v>
      </c>
    </row>
    <row r="56" spans="1:8">
      <c r="A56" s="15">
        <v>43932</v>
      </c>
      <c r="B56" s="27">
        <v>-80.02482813095142</v>
      </c>
      <c r="C56" s="16">
        <v>3.3898305084745748</v>
      </c>
      <c r="D56" s="26">
        <v>17</v>
      </c>
      <c r="E56" s="24">
        <v>0</v>
      </c>
      <c r="F56" s="13"/>
      <c r="G56" s="20">
        <v>198</v>
      </c>
      <c r="H56" s="14">
        <f t="shared" si="0"/>
        <v>166.85714285714286</v>
      </c>
    </row>
    <row r="57" spans="1:8">
      <c r="A57" s="15">
        <v>43933</v>
      </c>
      <c r="B57" s="27">
        <v>-82.631857383644387</v>
      </c>
      <c r="C57" s="16">
        <v>3.3898305084745752</v>
      </c>
      <c r="D57" s="26">
        <v>23</v>
      </c>
      <c r="E57" s="24">
        <v>0</v>
      </c>
      <c r="F57" s="13"/>
      <c r="G57" s="20">
        <v>174</v>
      </c>
      <c r="H57" s="14">
        <f t="shared" si="0"/>
        <v>162.71428571428572</v>
      </c>
    </row>
    <row r="58" spans="1:8">
      <c r="A58" s="15">
        <v>43934</v>
      </c>
      <c r="B58" s="27">
        <v>-69.344638062313564</v>
      </c>
      <c r="C58" s="16">
        <v>3.3898305084745752</v>
      </c>
      <c r="D58" s="26">
        <v>14</v>
      </c>
      <c r="E58" s="24">
        <v>0</v>
      </c>
      <c r="F58" s="13"/>
      <c r="G58" s="20">
        <v>100</v>
      </c>
      <c r="H58" s="14">
        <f t="shared" si="0"/>
        <v>158.14285714285714</v>
      </c>
    </row>
    <row r="59" spans="1:8">
      <c r="A59" s="15">
        <v>43935</v>
      </c>
      <c r="B59" s="27">
        <v>-69.530138254179434</v>
      </c>
      <c r="C59" s="16">
        <v>3.3898305084745752</v>
      </c>
      <c r="D59" s="26">
        <v>4</v>
      </c>
      <c r="E59" s="24">
        <v>0</v>
      </c>
      <c r="F59" s="13"/>
      <c r="G59" s="20">
        <v>158</v>
      </c>
      <c r="H59" s="14">
        <f t="shared" si="0"/>
        <v>158.85714285714286</v>
      </c>
    </row>
    <row r="60" spans="1:8">
      <c r="A60" s="15">
        <v>43936</v>
      </c>
      <c r="B60" s="27">
        <v>-70.929027931046605</v>
      </c>
      <c r="C60" s="16">
        <v>3.3898305084745752</v>
      </c>
      <c r="D60" s="26">
        <v>10</v>
      </c>
      <c r="E60" s="24">
        <v>0</v>
      </c>
      <c r="F60" s="13"/>
      <c r="G60" s="20">
        <v>127</v>
      </c>
      <c r="H60" s="14">
        <f t="shared" si="0"/>
        <v>157.14285714285714</v>
      </c>
    </row>
    <row r="61" spans="1:8">
      <c r="A61" s="15">
        <v>43937</v>
      </c>
      <c r="B61" s="27">
        <v>-71.86408300832538</v>
      </c>
      <c r="C61" s="16">
        <v>3.3898305084745748</v>
      </c>
      <c r="D61" s="26">
        <v>23</v>
      </c>
      <c r="E61" s="24">
        <v>0</v>
      </c>
      <c r="F61" s="13"/>
      <c r="G61" s="20">
        <v>151</v>
      </c>
      <c r="H61" s="14">
        <f t="shared" si="0"/>
        <v>147.85714285714286</v>
      </c>
    </row>
    <row r="62" spans="1:8">
      <c r="A62" s="15">
        <v>43938</v>
      </c>
      <c r="B62" s="27">
        <v>-73.455032145689827</v>
      </c>
      <c r="C62" s="16">
        <v>3.3898305084745752</v>
      </c>
      <c r="D62" s="26">
        <v>17</v>
      </c>
      <c r="E62" s="24">
        <v>0</v>
      </c>
      <c r="F62" s="13"/>
      <c r="G62" s="20">
        <v>204</v>
      </c>
      <c r="H62" s="14">
        <f t="shared" si="0"/>
        <v>148</v>
      </c>
    </row>
    <row r="63" spans="1:8">
      <c r="A63" s="15">
        <v>43939</v>
      </c>
      <c r="B63" s="27">
        <v>-83.296154878833107</v>
      </c>
      <c r="C63" s="16">
        <v>3.3898305084745748</v>
      </c>
      <c r="D63" s="26">
        <v>26</v>
      </c>
      <c r="E63" s="24">
        <v>0</v>
      </c>
      <c r="F63" s="13"/>
      <c r="G63" s="20">
        <v>186</v>
      </c>
      <c r="H63" s="14">
        <f t="shared" si="0"/>
        <v>143</v>
      </c>
    </row>
    <row r="64" spans="1:8">
      <c r="A64" s="15">
        <v>43940</v>
      </c>
      <c r="B64" s="27">
        <v>-82.595287781977305</v>
      </c>
      <c r="C64" s="16">
        <v>3.3898305084745752</v>
      </c>
      <c r="D64" s="26">
        <v>21</v>
      </c>
      <c r="E64" s="24">
        <v>0</v>
      </c>
      <c r="F64" s="13"/>
      <c r="G64" s="20">
        <v>109</v>
      </c>
      <c r="H64" s="14">
        <f t="shared" si="0"/>
        <v>142.42857142857142</v>
      </c>
    </row>
    <row r="65" spans="1:8">
      <c r="A65" s="15">
        <v>43941</v>
      </c>
      <c r="B65" s="27">
        <v>-71.701782145388563</v>
      </c>
      <c r="C65" s="16">
        <v>3.3898305084745748</v>
      </c>
      <c r="D65" s="26">
        <v>14</v>
      </c>
      <c r="E65" s="24">
        <v>0</v>
      </c>
      <c r="F65" s="13"/>
      <c r="G65" s="20">
        <v>101</v>
      </c>
      <c r="H65" s="14">
        <f t="shared" si="0"/>
        <v>140</v>
      </c>
    </row>
    <row r="66" spans="1:8">
      <c r="A66" s="15">
        <v>43942</v>
      </c>
      <c r="B66" s="27">
        <v>-72.122006421010013</v>
      </c>
      <c r="C66" s="16">
        <v>3.3898305084745752</v>
      </c>
      <c r="D66" s="26">
        <v>21</v>
      </c>
      <c r="E66" s="24">
        <v>0</v>
      </c>
      <c r="F66" s="13"/>
      <c r="G66" s="20">
        <v>123</v>
      </c>
      <c r="H66" s="14">
        <f t="shared" si="0"/>
        <v>134.85714285714286</v>
      </c>
    </row>
    <row r="67" spans="1:8">
      <c r="A67" s="15">
        <v>43943</v>
      </c>
      <c r="B67" s="27">
        <v>-73.440206931206447</v>
      </c>
      <c r="C67" s="16">
        <v>3.3898305084745748</v>
      </c>
      <c r="D67" s="26">
        <v>14</v>
      </c>
      <c r="E67" s="24">
        <v>0</v>
      </c>
      <c r="F67" s="13"/>
      <c r="G67" s="20">
        <v>123</v>
      </c>
      <c r="H67" s="14">
        <f t="shared" si="0"/>
        <v>125.14285714285714</v>
      </c>
    </row>
    <row r="68" spans="1:8">
      <c r="A68" s="15">
        <v>43944</v>
      </c>
      <c r="B68" s="27">
        <v>-73.159202518917425</v>
      </c>
      <c r="C68" s="16">
        <v>3.3898305084745752</v>
      </c>
      <c r="D68" s="26">
        <v>18</v>
      </c>
      <c r="E68" s="24">
        <v>0</v>
      </c>
      <c r="F68" s="13"/>
      <c r="G68" s="20">
        <v>134</v>
      </c>
      <c r="H68" s="14">
        <f t="shared" si="0"/>
        <v>121.28571428571429</v>
      </c>
    </row>
    <row r="69" spans="1:8">
      <c r="A69" s="15">
        <v>43945</v>
      </c>
      <c r="B69" s="27">
        <v>-74.136952805924096</v>
      </c>
      <c r="C69" s="16">
        <v>3.3898305084745752</v>
      </c>
      <c r="D69" s="26">
        <v>27</v>
      </c>
      <c r="E69" s="24">
        <v>0</v>
      </c>
      <c r="F69" s="13"/>
      <c r="G69" s="20">
        <v>168</v>
      </c>
      <c r="H69" s="14">
        <f t="shared" si="0"/>
        <v>112.71428571428571</v>
      </c>
    </row>
    <row r="70" spans="1:8">
      <c r="A70" s="15">
        <v>43946</v>
      </c>
      <c r="B70" s="27">
        <v>-81.727479066630877</v>
      </c>
      <c r="C70" s="16">
        <v>3.3898305084745752</v>
      </c>
      <c r="D70" s="26">
        <v>30</v>
      </c>
      <c r="E70" s="24">
        <v>0</v>
      </c>
      <c r="F70" s="13"/>
      <c r="G70" s="20">
        <v>118</v>
      </c>
      <c r="H70" s="14">
        <f t="shared" si="0"/>
        <v>111.28571428571429</v>
      </c>
    </row>
    <row r="71" spans="1:8">
      <c r="A71" s="15">
        <v>43947</v>
      </c>
      <c r="B71" s="27">
        <v>-83.397443267269054</v>
      </c>
      <c r="C71" s="16">
        <v>3.3898305084745748</v>
      </c>
      <c r="D71" s="26">
        <v>27</v>
      </c>
      <c r="E71" s="24">
        <v>0</v>
      </c>
      <c r="F71" s="13"/>
      <c r="G71" s="20">
        <v>82</v>
      </c>
      <c r="H71" s="14">
        <f t="shared" si="0"/>
        <v>100.42857142857143</v>
      </c>
    </row>
    <row r="72" spans="1:8">
      <c r="A72" s="15">
        <v>43948</v>
      </c>
      <c r="B72" s="27">
        <v>-72.290474762830385</v>
      </c>
      <c r="C72" s="16">
        <v>3.3898305084745752</v>
      </c>
      <c r="D72" s="26">
        <v>17</v>
      </c>
      <c r="E72" s="24">
        <v>0</v>
      </c>
      <c r="F72" s="13"/>
      <c r="G72" s="20">
        <v>41</v>
      </c>
      <c r="H72" s="14">
        <f t="shared" si="0"/>
        <v>89.714285714285708</v>
      </c>
    </row>
    <row r="73" spans="1:8">
      <c r="A73" s="15">
        <v>43949</v>
      </c>
      <c r="B73" s="27">
        <v>-72.44229768033783</v>
      </c>
      <c r="C73" s="16">
        <v>3.3898305084745752</v>
      </c>
      <c r="D73" s="26">
        <v>20</v>
      </c>
      <c r="E73" s="24">
        <v>0</v>
      </c>
      <c r="F73" s="13"/>
      <c r="G73" s="20">
        <v>113</v>
      </c>
      <c r="H73" s="14">
        <f t="shared" si="0"/>
        <v>89.285714285714292</v>
      </c>
    </row>
    <row r="74" spans="1:8">
      <c r="A74" s="15">
        <v>43950</v>
      </c>
      <c r="B74" s="27">
        <v>-84.721063879354205</v>
      </c>
      <c r="C74" s="16">
        <v>3.3898305084745752</v>
      </c>
      <c r="D74" s="26">
        <v>16</v>
      </c>
      <c r="E74" s="24">
        <v>0</v>
      </c>
      <c r="F74" s="13"/>
      <c r="G74" s="20">
        <v>47</v>
      </c>
      <c r="H74" s="14">
        <f t="shared" si="0"/>
        <v>94.142857142857139</v>
      </c>
    </row>
    <row r="75" spans="1:8">
      <c r="A75" s="15">
        <v>43951</v>
      </c>
      <c r="B75" s="27">
        <v>-73.318633392061273</v>
      </c>
      <c r="C75" s="16">
        <v>3.3898305084745752</v>
      </c>
      <c r="D75" s="26">
        <v>17</v>
      </c>
      <c r="E75" s="24">
        <v>0</v>
      </c>
      <c r="F75" s="13"/>
      <c r="G75" s="20">
        <v>59</v>
      </c>
      <c r="H75" s="14">
        <f t="shared" si="0"/>
        <v>95.714285714285708</v>
      </c>
    </row>
    <row r="76" spans="1:8">
      <c r="A76" s="15">
        <v>43952</v>
      </c>
      <c r="B76" s="27">
        <v>-75.179207096841779</v>
      </c>
      <c r="C76" s="16">
        <v>3.3898305084745748</v>
      </c>
      <c r="D76" s="26">
        <v>26</v>
      </c>
      <c r="E76" s="24">
        <v>0</v>
      </c>
      <c r="F76" s="13"/>
      <c r="G76" s="20">
        <v>165</v>
      </c>
      <c r="H76" s="14">
        <f t="shared" si="0"/>
        <v>102.28571428571429</v>
      </c>
    </row>
    <row r="77" spans="1:8">
      <c r="A77" s="15">
        <v>43953</v>
      </c>
      <c r="B77" s="27">
        <v>-82.01630804678085</v>
      </c>
      <c r="C77" s="16">
        <v>3.3898305084745752</v>
      </c>
      <c r="D77" s="26">
        <v>45</v>
      </c>
      <c r="E77" s="24">
        <v>0</v>
      </c>
      <c r="F77" s="13"/>
      <c r="G77" s="20">
        <v>152</v>
      </c>
      <c r="H77" s="14">
        <f t="shared" si="0"/>
        <v>94.285714285714292</v>
      </c>
    </row>
    <row r="78" spans="1:8">
      <c r="A78" s="15">
        <v>43954</v>
      </c>
      <c r="B78" s="27">
        <v>-83.270595112994556</v>
      </c>
      <c r="C78" s="16">
        <v>3.3898305084745752</v>
      </c>
      <c r="D78" s="26">
        <v>51</v>
      </c>
      <c r="E78" s="24">
        <v>0</v>
      </c>
      <c r="F78" s="13"/>
      <c r="G78" s="20">
        <v>93</v>
      </c>
      <c r="H78" s="14">
        <f t="shared" si="0"/>
        <v>92.857142857142861</v>
      </c>
    </row>
    <row r="79" spans="1:8">
      <c r="A79" s="15">
        <v>43955</v>
      </c>
      <c r="B79" s="27">
        <v>-84.859925775286015</v>
      </c>
      <c r="C79" s="16">
        <v>3.3898305084745752</v>
      </c>
      <c r="D79" s="26">
        <v>43</v>
      </c>
      <c r="E79" s="24">
        <v>0</v>
      </c>
      <c r="F79" s="13"/>
      <c r="G79" s="20">
        <v>87</v>
      </c>
      <c r="H79" s="14">
        <f t="shared" si="0"/>
        <v>87.714285714285708</v>
      </c>
    </row>
    <row r="80" spans="1:8">
      <c r="A80" s="15">
        <v>43956</v>
      </c>
      <c r="B80" s="27">
        <v>-84.814022097529943</v>
      </c>
      <c r="C80" s="16">
        <v>3.3898305084745752</v>
      </c>
      <c r="D80" s="26">
        <v>43</v>
      </c>
      <c r="E80" s="24">
        <v>0</v>
      </c>
      <c r="F80" s="13"/>
      <c r="G80" s="20">
        <v>57</v>
      </c>
      <c r="H80" s="14">
        <f t="shared" si="0"/>
        <v>69.714285714285708</v>
      </c>
    </row>
    <row r="81" spans="1:8">
      <c r="A81" s="15">
        <v>43957</v>
      </c>
      <c r="B81" s="27">
        <v>-85.575407279156195</v>
      </c>
      <c r="C81" s="16">
        <v>3.3898305084745752</v>
      </c>
      <c r="D81" s="26">
        <v>20</v>
      </c>
      <c r="E81" s="24">
        <v>0</v>
      </c>
      <c r="F81" s="13"/>
      <c r="G81" s="20">
        <v>37</v>
      </c>
      <c r="H81" s="14">
        <f t="shared" si="0"/>
        <v>53.142857142857146</v>
      </c>
    </row>
    <row r="82" spans="1:8">
      <c r="A82" s="15">
        <v>43958</v>
      </c>
      <c r="B82" s="27">
        <v>-69.306307129830671</v>
      </c>
      <c r="C82" s="16">
        <v>3.3898305084745752</v>
      </c>
      <c r="D82" s="26">
        <v>15</v>
      </c>
      <c r="E82" s="24">
        <v>0</v>
      </c>
      <c r="F82" s="13"/>
      <c r="G82" s="20">
        <v>23</v>
      </c>
      <c r="H82" s="14">
        <f t="shared" si="0"/>
        <v>43</v>
      </c>
    </row>
    <row r="83" spans="1:8">
      <c r="A83" s="15">
        <v>43959</v>
      </c>
      <c r="B83" s="27">
        <v>-71.53403356997714</v>
      </c>
      <c r="C83" s="16">
        <v>3.3898305084745752</v>
      </c>
      <c r="D83" s="26">
        <v>23</v>
      </c>
      <c r="E83" s="24">
        <v>0</v>
      </c>
      <c r="F83" s="13"/>
      <c r="G83" s="20">
        <v>39</v>
      </c>
      <c r="H83" s="14">
        <f t="shared" si="0"/>
        <v>32.714285714285715</v>
      </c>
    </row>
    <row r="84" spans="1:8">
      <c r="A84" s="15">
        <v>43960</v>
      </c>
      <c r="B84" s="27">
        <v>-78.935894874212465</v>
      </c>
      <c r="C84" s="16">
        <v>3.3898305084745752</v>
      </c>
      <c r="D84" s="26">
        <v>26</v>
      </c>
      <c r="E84" s="24">
        <v>0</v>
      </c>
      <c r="F84" s="13"/>
      <c r="G84" s="20">
        <v>36</v>
      </c>
      <c r="H84" s="14">
        <f t="shared" si="0"/>
        <v>28.428571428571427</v>
      </c>
    </row>
    <row r="85" spans="1:8">
      <c r="A85" s="15">
        <v>43961</v>
      </c>
      <c r="B85" s="27">
        <v>-80.795613684158269</v>
      </c>
      <c r="C85" s="16">
        <v>3.3898305084745752</v>
      </c>
      <c r="D85" s="26">
        <v>25</v>
      </c>
      <c r="E85" s="24">
        <v>0</v>
      </c>
      <c r="F85" s="13"/>
      <c r="G85" s="20">
        <v>22</v>
      </c>
      <c r="H85" s="14">
        <f t="shared" ref="H85:H148" si="1">SUM(G82:G88)/7</f>
        <v>24.571428571428573</v>
      </c>
    </row>
    <row r="86" spans="1:8">
      <c r="A86" s="15">
        <v>43962</v>
      </c>
      <c r="B86" s="27">
        <v>-67.569430928035331</v>
      </c>
      <c r="C86" s="16">
        <v>3.3898305084745752</v>
      </c>
      <c r="D86" s="26">
        <v>12</v>
      </c>
      <c r="E86" s="24">
        <v>0</v>
      </c>
      <c r="F86" s="13"/>
      <c r="G86" s="20">
        <v>15</v>
      </c>
      <c r="H86" s="14">
        <f t="shared" si="1"/>
        <v>25.571428571428573</v>
      </c>
    </row>
    <row r="87" spans="1:8">
      <c r="A87" s="15">
        <v>43963</v>
      </c>
      <c r="B87" s="27">
        <v>-68.86945392491468</v>
      </c>
      <c r="C87" s="16">
        <v>3.3898305084745752</v>
      </c>
      <c r="D87" s="26">
        <v>11</v>
      </c>
      <c r="E87" s="24">
        <v>0</v>
      </c>
      <c r="F87" s="13"/>
      <c r="G87" s="20">
        <v>27</v>
      </c>
      <c r="H87" s="14">
        <f t="shared" si="1"/>
        <v>21.285714285714285</v>
      </c>
    </row>
    <row r="88" spans="1:8">
      <c r="A88" s="15">
        <v>43964</v>
      </c>
      <c r="B88" s="27">
        <v>-69.934592271629242</v>
      </c>
      <c r="C88" s="16">
        <v>3.3898305084745752</v>
      </c>
      <c r="D88" s="26">
        <v>15</v>
      </c>
      <c r="E88" s="24">
        <v>0</v>
      </c>
      <c r="F88" s="13"/>
      <c r="G88" s="20">
        <v>10</v>
      </c>
      <c r="H88" s="14">
        <f t="shared" si="1"/>
        <v>18.142857142857142</v>
      </c>
    </row>
    <row r="89" spans="1:8">
      <c r="A89" s="15">
        <v>43965</v>
      </c>
      <c r="B89" s="27">
        <v>-69.395354850998004</v>
      </c>
      <c r="C89" s="16">
        <v>3.3898305084745752</v>
      </c>
      <c r="D89" s="26">
        <v>14</v>
      </c>
      <c r="E89" s="24">
        <v>0</v>
      </c>
      <c r="F89" s="13"/>
      <c r="G89" s="20">
        <v>30</v>
      </c>
      <c r="H89" s="14">
        <f t="shared" si="1"/>
        <v>15.714285714285714</v>
      </c>
    </row>
    <row r="90" spans="1:8">
      <c r="A90" s="15">
        <v>43966</v>
      </c>
      <c r="B90" s="27">
        <v>-69.882634560666901</v>
      </c>
      <c r="C90" s="16">
        <v>3.3898305084745752</v>
      </c>
      <c r="D90" s="26">
        <v>21</v>
      </c>
      <c r="E90" s="24">
        <v>0</v>
      </c>
      <c r="F90" s="13"/>
      <c r="G90" s="20">
        <v>9</v>
      </c>
      <c r="H90" s="14">
        <f t="shared" si="1"/>
        <v>15</v>
      </c>
    </row>
    <row r="91" spans="1:8">
      <c r="A91" s="15">
        <v>43967</v>
      </c>
      <c r="B91" s="27">
        <v>-78.096296620064805</v>
      </c>
      <c r="C91" s="16">
        <v>3.3898305084745752</v>
      </c>
      <c r="D91" s="26">
        <v>34</v>
      </c>
      <c r="E91" s="24">
        <v>0</v>
      </c>
      <c r="F91" s="13"/>
      <c r="G91" s="20">
        <v>14</v>
      </c>
      <c r="H91" s="14">
        <f t="shared" si="1"/>
        <v>11.857142857142858</v>
      </c>
    </row>
    <row r="92" spans="1:8">
      <c r="A92" s="15">
        <v>43968</v>
      </c>
      <c r="B92" s="27">
        <v>-77.875306143141572</v>
      </c>
      <c r="C92" s="16">
        <v>3.3898305084745748</v>
      </c>
      <c r="D92" s="26">
        <v>19</v>
      </c>
      <c r="E92" s="24">
        <v>0</v>
      </c>
      <c r="F92" s="13"/>
      <c r="G92" s="20">
        <v>5</v>
      </c>
      <c r="H92" s="14">
        <f t="shared" si="1"/>
        <v>11.142857142857142</v>
      </c>
    </row>
    <row r="93" spans="1:8">
      <c r="A93" s="15">
        <v>43969</v>
      </c>
      <c r="B93" s="27">
        <v>-66.472858096997527</v>
      </c>
      <c r="C93" s="16">
        <v>3.3898305084745752</v>
      </c>
      <c r="D93" s="26">
        <v>22</v>
      </c>
      <c r="E93" s="24">
        <v>0</v>
      </c>
      <c r="F93" s="13"/>
      <c r="G93" s="20">
        <v>10</v>
      </c>
      <c r="H93" s="14">
        <f t="shared" si="1"/>
        <v>8.4285714285714288</v>
      </c>
    </row>
    <row r="94" spans="1:8">
      <c r="A94" s="15">
        <v>43970</v>
      </c>
      <c r="B94" s="27">
        <v>-67.730013883264888</v>
      </c>
      <c r="C94" s="16">
        <v>3.3898305084745748</v>
      </c>
      <c r="D94" s="26">
        <v>8</v>
      </c>
      <c r="E94" s="24">
        <v>0</v>
      </c>
      <c r="F94" s="13"/>
      <c r="G94" s="20">
        <v>5</v>
      </c>
      <c r="H94" s="14">
        <f t="shared" si="1"/>
        <v>7.5714285714285712</v>
      </c>
    </row>
    <row r="95" spans="1:8">
      <c r="A95" s="15">
        <v>43971</v>
      </c>
      <c r="B95" s="27">
        <v>-68.044374040413288</v>
      </c>
      <c r="C95" s="16">
        <v>3.3898305084745748</v>
      </c>
      <c r="D95" s="26">
        <v>14</v>
      </c>
      <c r="E95" s="24">
        <v>0</v>
      </c>
      <c r="F95" s="13"/>
      <c r="G95" s="20">
        <v>5</v>
      </c>
      <c r="H95" s="14">
        <f t="shared" si="1"/>
        <v>5.8571428571428568</v>
      </c>
    </row>
    <row r="96" spans="1:8">
      <c r="A96" s="15">
        <v>43972</v>
      </c>
      <c r="B96" s="27">
        <v>-67.401061273660474</v>
      </c>
      <c r="C96" s="16">
        <v>3.3898305084745752</v>
      </c>
      <c r="D96" s="26">
        <v>10</v>
      </c>
      <c r="E96" s="24">
        <v>0</v>
      </c>
      <c r="F96" s="13"/>
      <c r="G96" s="20">
        <v>11</v>
      </c>
      <c r="H96" s="14">
        <f t="shared" si="1"/>
        <v>7.1428571428571432</v>
      </c>
    </row>
    <row r="97" spans="1:8">
      <c r="A97" s="15">
        <v>43973</v>
      </c>
      <c r="B97" s="27">
        <v>-67.9703547835298</v>
      </c>
      <c r="C97" s="16">
        <v>3.3898305084745752</v>
      </c>
      <c r="D97" s="26">
        <v>25</v>
      </c>
      <c r="E97" s="24">
        <v>0</v>
      </c>
      <c r="F97" s="13"/>
      <c r="G97" s="20">
        <v>3</v>
      </c>
      <c r="H97" s="14">
        <f t="shared" si="1"/>
        <v>6.8571428571428568</v>
      </c>
    </row>
    <row r="98" spans="1:8">
      <c r="A98" s="15">
        <v>43974</v>
      </c>
      <c r="B98" s="27">
        <v>-73.291729367909028</v>
      </c>
      <c r="C98" s="16">
        <v>3.3898305084745752</v>
      </c>
      <c r="D98" s="26">
        <v>32</v>
      </c>
      <c r="E98" s="24">
        <v>0</v>
      </c>
      <c r="F98" s="13"/>
      <c r="G98" s="20">
        <v>2</v>
      </c>
      <c r="H98" s="14">
        <f t="shared" si="1"/>
        <v>7.5714285714285712</v>
      </c>
    </row>
    <row r="99" spans="1:8">
      <c r="A99" s="15">
        <v>43975</v>
      </c>
      <c r="B99" s="27">
        <v>-74.348969878442134</v>
      </c>
      <c r="C99" s="16">
        <v>3.3898305084745752</v>
      </c>
      <c r="D99" s="26">
        <v>22</v>
      </c>
      <c r="E99" s="24">
        <v>0</v>
      </c>
      <c r="F99" s="13"/>
      <c r="G99" s="20">
        <v>14</v>
      </c>
      <c r="H99" s="14">
        <f t="shared" si="1"/>
        <v>8.4285714285714288</v>
      </c>
    </row>
    <row r="100" spans="1:8">
      <c r="A100" s="15">
        <v>43976</v>
      </c>
      <c r="B100" s="27">
        <v>-61.905989575820698</v>
      </c>
      <c r="C100" s="16">
        <v>3.3898305084745752</v>
      </c>
      <c r="D100" s="26">
        <v>16</v>
      </c>
      <c r="E100" s="24">
        <v>0</v>
      </c>
      <c r="F100" s="13"/>
      <c r="G100" s="20">
        <v>8</v>
      </c>
      <c r="H100" s="14">
        <f t="shared" si="1"/>
        <v>9</v>
      </c>
    </row>
    <row r="101" spans="1:8">
      <c r="A101" s="15">
        <v>43977</v>
      </c>
      <c r="B101" s="27">
        <v>-60.554715971539309</v>
      </c>
      <c r="C101" s="16">
        <v>3.3898305084745748</v>
      </c>
      <c r="D101" s="26">
        <v>6</v>
      </c>
      <c r="E101" s="24">
        <v>0</v>
      </c>
      <c r="F101" s="13"/>
      <c r="G101" s="20">
        <v>10</v>
      </c>
      <c r="H101" s="14">
        <f t="shared" si="1"/>
        <v>11.571428571428571</v>
      </c>
    </row>
    <row r="102" spans="1:8">
      <c r="A102" s="15">
        <v>43978</v>
      </c>
      <c r="B102" s="27">
        <v>-58.773142819932168</v>
      </c>
      <c r="C102" s="16">
        <v>3.3898305084745748</v>
      </c>
      <c r="D102" s="26">
        <v>18</v>
      </c>
      <c r="E102" s="24">
        <v>0</v>
      </c>
      <c r="F102" s="13"/>
      <c r="G102" s="20">
        <v>11</v>
      </c>
      <c r="H102" s="14">
        <f t="shared" si="1"/>
        <v>13.285714285714286</v>
      </c>
    </row>
    <row r="103" spans="1:8">
      <c r="A103" s="15">
        <v>43979</v>
      </c>
      <c r="B103" s="27">
        <v>-57.758986538222921</v>
      </c>
      <c r="C103" s="16">
        <v>3.3898305084745748</v>
      </c>
      <c r="D103" s="26">
        <v>18</v>
      </c>
      <c r="E103" s="24">
        <v>0</v>
      </c>
      <c r="F103" s="13"/>
      <c r="G103" s="20">
        <v>15</v>
      </c>
      <c r="H103" s="14">
        <f t="shared" si="1"/>
        <v>12</v>
      </c>
    </row>
    <row r="104" spans="1:8">
      <c r="A104" s="15">
        <v>43980</v>
      </c>
      <c r="B104" s="27">
        <v>-56.894520104963917</v>
      </c>
      <c r="C104" s="16">
        <v>3.3898305084745748</v>
      </c>
      <c r="D104" s="26">
        <v>46</v>
      </c>
      <c r="E104" s="24">
        <v>0</v>
      </c>
      <c r="F104" s="13"/>
      <c r="G104" s="20">
        <v>21</v>
      </c>
      <c r="H104" s="14">
        <f t="shared" si="1"/>
        <v>12.714285714285714</v>
      </c>
    </row>
    <row r="105" spans="1:8">
      <c r="A105" s="15">
        <v>43981</v>
      </c>
      <c r="B105" s="27">
        <v>-58.771955841674419</v>
      </c>
      <c r="C105" s="16">
        <v>3.3898305084745748</v>
      </c>
      <c r="D105" s="26">
        <v>28</v>
      </c>
      <c r="E105" s="24">
        <v>0</v>
      </c>
      <c r="F105" s="13"/>
      <c r="G105" s="20">
        <v>14</v>
      </c>
      <c r="H105" s="14">
        <f t="shared" si="1"/>
        <v>16.142857142857142</v>
      </c>
    </row>
    <row r="106" spans="1:8">
      <c r="A106" s="15">
        <v>43982</v>
      </c>
      <c r="B106" s="27">
        <v>-61.228713161535396</v>
      </c>
      <c r="C106" s="16">
        <v>3.3898305084745752</v>
      </c>
      <c r="D106" s="26">
        <v>25</v>
      </c>
      <c r="E106" s="24">
        <v>0</v>
      </c>
      <c r="F106" s="13"/>
      <c r="G106" s="20">
        <v>5</v>
      </c>
      <c r="H106" s="14">
        <f t="shared" si="1"/>
        <v>16.285714285714285</v>
      </c>
    </row>
    <row r="107" spans="1:8">
      <c r="A107" s="15">
        <v>43983</v>
      </c>
      <c r="B107" s="27">
        <v>-42.625457331379422</v>
      </c>
      <c r="C107" s="16">
        <v>3.3898305084745752</v>
      </c>
      <c r="D107" s="26">
        <v>14</v>
      </c>
      <c r="E107" s="24">
        <v>0</v>
      </c>
      <c r="F107" s="13"/>
      <c r="G107" s="20">
        <v>13</v>
      </c>
      <c r="H107" s="14">
        <f t="shared" si="1"/>
        <v>18.142857142857142</v>
      </c>
    </row>
    <row r="108" spans="1:8">
      <c r="A108" s="15">
        <v>43984</v>
      </c>
      <c r="B108" s="27">
        <v>-43.078577833053735</v>
      </c>
      <c r="C108" s="16">
        <v>3.3898305084745752</v>
      </c>
      <c r="D108" s="26">
        <v>21</v>
      </c>
      <c r="E108" s="24">
        <v>0</v>
      </c>
      <c r="F108" s="13"/>
      <c r="G108" s="20">
        <v>34</v>
      </c>
      <c r="H108" s="14">
        <f t="shared" si="1"/>
        <v>18</v>
      </c>
    </row>
    <row r="109" spans="1:8">
      <c r="A109" s="15">
        <v>43985</v>
      </c>
      <c r="B109" s="27">
        <v>-44.365230236387845</v>
      </c>
      <c r="C109" s="16">
        <v>3.3898305084745752</v>
      </c>
      <c r="D109" s="26">
        <v>15</v>
      </c>
      <c r="E109" s="24">
        <v>0</v>
      </c>
      <c r="F109" s="13"/>
      <c r="G109" s="20">
        <v>12</v>
      </c>
      <c r="H109" s="14">
        <f t="shared" si="1"/>
        <v>19.714285714285715</v>
      </c>
    </row>
    <row r="110" spans="1:8">
      <c r="A110" s="15">
        <v>43986</v>
      </c>
      <c r="B110" s="27">
        <v>-44.079143334506966</v>
      </c>
      <c r="C110" s="16">
        <v>3.3898305084745752</v>
      </c>
      <c r="D110" s="26">
        <v>18</v>
      </c>
      <c r="E110" s="24">
        <v>0</v>
      </c>
      <c r="F110" s="13"/>
      <c r="G110" s="20">
        <v>28</v>
      </c>
      <c r="H110" s="14">
        <f t="shared" si="1"/>
        <v>21</v>
      </c>
    </row>
    <row r="111" spans="1:8">
      <c r="A111" s="15">
        <v>43987</v>
      </c>
      <c r="B111" s="27">
        <v>-44.608268934595344</v>
      </c>
      <c r="C111" s="16">
        <v>3.3898305084745752</v>
      </c>
      <c r="D111" s="26">
        <v>35</v>
      </c>
      <c r="E111" s="24">
        <v>0</v>
      </c>
      <c r="F111" s="13"/>
      <c r="G111" s="20">
        <v>20</v>
      </c>
      <c r="H111" s="14">
        <f t="shared" si="1"/>
        <v>21</v>
      </c>
    </row>
    <row r="112" spans="1:8">
      <c r="A112" s="15">
        <v>43988</v>
      </c>
      <c r="B112" s="27">
        <v>-47.660215983665417</v>
      </c>
      <c r="C112" s="16">
        <v>3.3901764095468687</v>
      </c>
      <c r="D112" s="26">
        <v>43</v>
      </c>
      <c r="E112" s="24">
        <v>0</v>
      </c>
      <c r="F112" s="13"/>
      <c r="G112" s="20">
        <v>26</v>
      </c>
      <c r="H112" s="14">
        <f t="shared" si="1"/>
        <v>17.857142857142858</v>
      </c>
    </row>
    <row r="113" spans="1:8">
      <c r="A113" s="15">
        <v>43989</v>
      </c>
      <c r="B113" s="27">
        <v>-49.897269964690395</v>
      </c>
      <c r="C113" s="16">
        <v>3.3908682116914557</v>
      </c>
      <c r="D113" s="26">
        <v>25</v>
      </c>
      <c r="E113" s="24">
        <v>0</v>
      </c>
      <c r="F113" s="13"/>
      <c r="G113" s="20">
        <v>14</v>
      </c>
      <c r="H113" s="14">
        <f t="shared" si="1"/>
        <v>18.714285714285715</v>
      </c>
    </row>
    <row r="114" spans="1:8">
      <c r="A114" s="15">
        <v>43990</v>
      </c>
      <c r="B114" s="27">
        <v>-40.682527029065078</v>
      </c>
      <c r="C114" s="16">
        <v>3.3919059149083357</v>
      </c>
      <c r="D114" s="26">
        <v>21</v>
      </c>
      <c r="E114" s="24">
        <v>0</v>
      </c>
      <c r="F114" s="13"/>
      <c r="G114" s="20">
        <v>13</v>
      </c>
      <c r="H114" s="14">
        <f t="shared" si="1"/>
        <v>17.857142857142858</v>
      </c>
    </row>
    <row r="115" spans="1:8">
      <c r="A115" s="15">
        <v>43991</v>
      </c>
      <c r="B115" s="27">
        <v>-39.87837681494765</v>
      </c>
      <c r="C115" s="16">
        <v>3.3932895191975088</v>
      </c>
      <c r="D115" s="26">
        <v>20</v>
      </c>
      <c r="E115" s="24">
        <v>0</v>
      </c>
      <c r="F115" s="13"/>
      <c r="G115" s="20">
        <v>12</v>
      </c>
      <c r="H115" s="14">
        <f t="shared" si="1"/>
        <v>18.571428571428573</v>
      </c>
    </row>
    <row r="116" spans="1:8">
      <c r="A116" s="15">
        <v>43992</v>
      </c>
      <c r="B116" s="27">
        <v>-41.122214565068035</v>
      </c>
      <c r="C116" s="16">
        <v>3.3950190245589758</v>
      </c>
      <c r="D116" s="26">
        <v>16</v>
      </c>
      <c r="E116" s="24">
        <v>0</v>
      </c>
      <c r="F116" s="13"/>
      <c r="G116" s="20">
        <v>18</v>
      </c>
      <c r="H116" s="14">
        <f t="shared" si="1"/>
        <v>18.285714285714285</v>
      </c>
    </row>
    <row r="117" spans="1:8">
      <c r="A117" s="15">
        <v>43993</v>
      </c>
      <c r="B117" s="27">
        <v>-42.152973696860286</v>
      </c>
      <c r="C117" s="16">
        <v>3.3970944309927353</v>
      </c>
      <c r="D117" s="26">
        <v>23</v>
      </c>
      <c r="E117" s="24">
        <v>0</v>
      </c>
      <c r="F117" s="13"/>
      <c r="G117" s="20">
        <v>22</v>
      </c>
      <c r="H117" s="14">
        <f t="shared" si="1"/>
        <v>23</v>
      </c>
    </row>
    <row r="118" spans="1:8">
      <c r="A118" s="15">
        <v>43994</v>
      </c>
      <c r="B118" s="27">
        <v>-41.376750347613296</v>
      </c>
      <c r="C118" s="16">
        <v>3.3995157384987889</v>
      </c>
      <c r="D118" s="26">
        <v>33</v>
      </c>
      <c r="E118" s="24">
        <v>0</v>
      </c>
      <c r="F118" s="13"/>
      <c r="G118" s="20">
        <v>25</v>
      </c>
      <c r="H118" s="14">
        <f t="shared" si="1"/>
        <v>28</v>
      </c>
    </row>
    <row r="119" spans="1:8">
      <c r="A119" s="15">
        <v>43995</v>
      </c>
      <c r="B119" s="27">
        <v>-44.039297288184272</v>
      </c>
      <c r="C119" s="16">
        <v>3.4017710134901415</v>
      </c>
      <c r="D119" s="26">
        <v>53</v>
      </c>
      <c r="E119" s="24">
        <v>0</v>
      </c>
      <c r="F119" s="13"/>
      <c r="G119" s="20">
        <v>24</v>
      </c>
      <c r="H119" s="14">
        <f t="shared" si="1"/>
        <v>30.142857142857142</v>
      </c>
    </row>
    <row r="120" spans="1:8">
      <c r="A120" s="15">
        <v>43996</v>
      </c>
      <c r="B120" s="27">
        <v>-44.856816433751113</v>
      </c>
      <c r="C120" s="16">
        <v>3.4038602559667934</v>
      </c>
      <c r="D120" s="26">
        <v>38</v>
      </c>
      <c r="E120" s="24">
        <v>0</v>
      </c>
      <c r="F120" s="13"/>
      <c r="G120" s="20">
        <v>47</v>
      </c>
      <c r="H120" s="14">
        <f t="shared" si="1"/>
        <v>29.857142857142858</v>
      </c>
    </row>
    <row r="121" spans="1:8">
      <c r="A121" s="15">
        <v>43997</v>
      </c>
      <c r="B121" s="27">
        <v>-36.532172867701</v>
      </c>
      <c r="C121" s="16">
        <v>3.4057834659287436</v>
      </c>
      <c r="D121" s="26">
        <v>17</v>
      </c>
      <c r="E121" s="24">
        <v>0</v>
      </c>
      <c r="F121" s="13"/>
      <c r="G121" s="20">
        <v>48</v>
      </c>
      <c r="H121" s="14">
        <f t="shared" si="1"/>
        <v>32.571428571428569</v>
      </c>
    </row>
    <row r="122" spans="1:8">
      <c r="A122" s="15">
        <v>43998</v>
      </c>
      <c r="B122" s="27">
        <v>-35.522393995487938</v>
      </c>
      <c r="C122" s="16">
        <v>3.4075406433759943</v>
      </c>
      <c r="D122" s="26">
        <v>24</v>
      </c>
      <c r="E122" s="24">
        <v>0</v>
      </c>
      <c r="F122" s="13"/>
      <c r="G122" s="20">
        <v>27</v>
      </c>
      <c r="H122" s="14">
        <f t="shared" si="1"/>
        <v>34</v>
      </c>
    </row>
    <row r="123" spans="1:8">
      <c r="A123" s="15">
        <v>43999</v>
      </c>
      <c r="B123" s="27">
        <v>-36.665832079421136</v>
      </c>
      <c r="C123" s="16">
        <v>3.4091317883085428</v>
      </c>
      <c r="D123" s="26">
        <v>19</v>
      </c>
      <c r="E123" s="24">
        <v>0</v>
      </c>
      <c r="F123" s="13"/>
      <c r="G123" s="20">
        <v>16</v>
      </c>
      <c r="H123" s="14">
        <f t="shared" si="1"/>
        <v>36.142857142857146</v>
      </c>
    </row>
    <row r="124" spans="1:8">
      <c r="A124" s="15">
        <v>44000</v>
      </c>
      <c r="B124" s="27">
        <v>-36.982505702773167</v>
      </c>
      <c r="C124" s="16">
        <v>3.4105569007263914</v>
      </c>
      <c r="D124" s="26">
        <v>41</v>
      </c>
      <c r="E124" s="24">
        <v>0</v>
      </c>
      <c r="F124" s="13"/>
      <c r="G124" s="20">
        <v>41</v>
      </c>
      <c r="H124" s="14">
        <f t="shared" si="1"/>
        <v>34.285714285714285</v>
      </c>
    </row>
    <row r="125" spans="1:8">
      <c r="A125" s="15">
        <v>44001</v>
      </c>
      <c r="B125" s="27">
        <v>-38.278616365705453</v>
      </c>
      <c r="C125" s="16">
        <v>3.4118159806295387</v>
      </c>
      <c r="D125" s="26">
        <v>55</v>
      </c>
      <c r="E125" s="24">
        <v>0</v>
      </c>
      <c r="F125" s="13"/>
      <c r="G125" s="20">
        <v>35</v>
      </c>
      <c r="H125" s="14">
        <f t="shared" si="1"/>
        <v>31.571428571428573</v>
      </c>
    </row>
    <row r="126" spans="1:8">
      <c r="A126" s="15">
        <v>44002</v>
      </c>
      <c r="B126" s="27">
        <v>-34.210097033424709</v>
      </c>
      <c r="C126" s="16">
        <v>3.4142234520927013</v>
      </c>
      <c r="D126" s="26">
        <v>62</v>
      </c>
      <c r="E126" s="24">
        <v>0</v>
      </c>
      <c r="F126" s="13"/>
      <c r="G126" s="20">
        <v>39</v>
      </c>
      <c r="H126" s="14">
        <f t="shared" si="1"/>
        <v>32.142857142857146</v>
      </c>
    </row>
    <row r="127" spans="1:8">
      <c r="A127" s="15">
        <v>44003</v>
      </c>
      <c r="B127" s="27">
        <v>-40.050501686571359</v>
      </c>
      <c r="C127" s="16">
        <v>3.417779315115876</v>
      </c>
      <c r="D127" s="26">
        <v>40</v>
      </c>
      <c r="E127" s="24">
        <v>0</v>
      </c>
      <c r="F127" s="13"/>
      <c r="G127" s="20">
        <v>34</v>
      </c>
      <c r="H127" s="14">
        <f t="shared" si="1"/>
        <v>37.714285714285715</v>
      </c>
    </row>
    <row r="128" spans="1:8">
      <c r="A128" s="15">
        <v>44004</v>
      </c>
      <c r="B128" s="27">
        <v>-35.53908957687969</v>
      </c>
      <c r="C128" s="16">
        <v>3.4224835696990654</v>
      </c>
      <c r="D128" s="26">
        <v>41</v>
      </c>
      <c r="E128" s="24">
        <v>0</v>
      </c>
      <c r="F128" s="13"/>
      <c r="G128" s="20">
        <v>29</v>
      </c>
      <c r="H128" s="14">
        <f t="shared" si="1"/>
        <v>38.714285714285715</v>
      </c>
    </row>
    <row r="129" spans="1:8">
      <c r="A129" s="15">
        <v>44005</v>
      </c>
      <c r="B129" s="27">
        <v>-32.812228842482789</v>
      </c>
      <c r="C129" s="16">
        <v>3.4283362158422683</v>
      </c>
      <c r="D129" s="26">
        <v>32</v>
      </c>
      <c r="E129" s="24">
        <v>0</v>
      </c>
      <c r="F129" s="13"/>
      <c r="G129" s="20">
        <v>31</v>
      </c>
      <c r="H129" s="14">
        <f t="shared" si="1"/>
        <v>41.428571428571431</v>
      </c>
    </row>
    <row r="130" spans="1:8">
      <c r="A130" s="15">
        <v>44006</v>
      </c>
      <c r="B130" s="27">
        <v>-34.49654365964998</v>
      </c>
      <c r="C130" s="16">
        <v>3.4353372535454851</v>
      </c>
      <c r="D130" s="26">
        <v>34</v>
      </c>
      <c r="E130" s="24">
        <v>0</v>
      </c>
      <c r="F130" s="13"/>
      <c r="G130" s="20">
        <v>55</v>
      </c>
      <c r="H130" s="14">
        <f t="shared" si="1"/>
        <v>44</v>
      </c>
    </row>
    <row r="131" spans="1:8">
      <c r="A131" s="15">
        <v>44007</v>
      </c>
      <c r="B131" s="27">
        <v>-33.916928416684947</v>
      </c>
      <c r="C131" s="16">
        <v>3.4434866828087158</v>
      </c>
      <c r="D131" s="26">
        <v>66</v>
      </c>
      <c r="E131" s="24">
        <v>0</v>
      </c>
      <c r="F131" s="13"/>
      <c r="G131" s="20">
        <v>48</v>
      </c>
      <c r="H131" s="14">
        <f t="shared" si="1"/>
        <v>47.714285714285715</v>
      </c>
    </row>
    <row r="132" spans="1:8">
      <c r="A132" s="15">
        <v>44008</v>
      </c>
      <c r="B132" s="27">
        <v>-33.071509113421811</v>
      </c>
      <c r="C132" s="16">
        <v>3.4527845036319604</v>
      </c>
      <c r="D132" s="26">
        <v>65</v>
      </c>
      <c r="E132" s="24">
        <v>0</v>
      </c>
      <c r="F132" s="13"/>
      <c r="G132" s="20">
        <v>54</v>
      </c>
      <c r="H132" s="14">
        <f t="shared" si="1"/>
        <v>51.857142857142854</v>
      </c>
    </row>
    <row r="133" spans="1:8">
      <c r="A133" s="15">
        <v>44009</v>
      </c>
      <c r="B133" s="27">
        <v>-31.023026706046171</v>
      </c>
      <c r="C133" s="16">
        <v>3.4594949844344507</v>
      </c>
      <c r="D133" s="26">
        <v>79</v>
      </c>
      <c r="E133" s="24">
        <v>0</v>
      </c>
      <c r="F133" s="13"/>
      <c r="G133" s="20">
        <v>57</v>
      </c>
      <c r="H133" s="14">
        <f t="shared" si="1"/>
        <v>55.142857142857146</v>
      </c>
    </row>
    <row r="134" spans="1:8">
      <c r="A134" s="15">
        <v>44010</v>
      </c>
      <c r="B134" s="27">
        <v>-38.055803854571771</v>
      </c>
      <c r="C134" s="16">
        <v>3.4636181252161871</v>
      </c>
      <c r="D134" s="26">
        <v>44</v>
      </c>
      <c r="E134" s="24">
        <v>0</v>
      </c>
      <c r="F134" s="13"/>
      <c r="G134" s="20">
        <v>60</v>
      </c>
      <c r="H134" s="14">
        <f t="shared" si="1"/>
        <v>56.857142857142854</v>
      </c>
    </row>
    <row r="135" spans="1:8">
      <c r="A135" s="15">
        <v>44011</v>
      </c>
      <c r="B135" s="27">
        <v>-30.294864851935827</v>
      </c>
      <c r="C135" s="16">
        <v>3.4651539259771695</v>
      </c>
      <c r="D135" s="26">
        <v>17</v>
      </c>
      <c r="E135" s="24">
        <v>0</v>
      </c>
      <c r="F135" s="13"/>
      <c r="G135" s="20">
        <v>58</v>
      </c>
      <c r="H135" s="14">
        <f t="shared" si="1"/>
        <v>65.285714285714292</v>
      </c>
    </row>
    <row r="136" spans="1:8">
      <c r="A136" s="15">
        <v>44012</v>
      </c>
      <c r="B136" s="27">
        <v>-31.043088737201362</v>
      </c>
      <c r="C136" s="16">
        <v>3.4641023867173977</v>
      </c>
      <c r="D136" s="26">
        <v>28</v>
      </c>
      <c r="E136" s="24">
        <v>0</v>
      </c>
      <c r="F136" s="13"/>
      <c r="G136" s="20">
        <v>54</v>
      </c>
      <c r="H136" s="14">
        <f t="shared" si="1"/>
        <v>75.285714285714292</v>
      </c>
    </row>
    <row r="137" spans="1:8">
      <c r="A137" s="15">
        <v>44013</v>
      </c>
      <c r="B137" s="27">
        <v>-31.63567376437269</v>
      </c>
      <c r="C137" s="16">
        <v>3.4604635074368724</v>
      </c>
      <c r="D137" s="26">
        <v>35</v>
      </c>
      <c r="E137" s="24">
        <v>0</v>
      </c>
      <c r="F137" s="13"/>
      <c r="G137" s="20">
        <v>67</v>
      </c>
      <c r="H137" s="14">
        <f t="shared" si="1"/>
        <v>85.857142857142861</v>
      </c>
    </row>
    <row r="138" spans="1:8">
      <c r="A138" s="15">
        <v>44014</v>
      </c>
      <c r="B138" s="27">
        <v>-31.762786880858528</v>
      </c>
      <c r="C138" s="16">
        <v>3.4542372881355918</v>
      </c>
      <c r="D138" s="26">
        <v>38</v>
      </c>
      <c r="E138" s="24">
        <v>0</v>
      </c>
      <c r="F138" s="13"/>
      <c r="G138" s="20">
        <v>107</v>
      </c>
      <c r="H138" s="14">
        <f t="shared" si="1"/>
        <v>93.142857142857139</v>
      </c>
    </row>
    <row r="139" spans="1:8">
      <c r="A139" s="15">
        <v>44015</v>
      </c>
      <c r="B139" s="27">
        <v>-34.487923487987906</v>
      </c>
      <c r="C139" s="16">
        <v>3.4454237288135587</v>
      </c>
      <c r="D139" s="26">
        <v>53</v>
      </c>
      <c r="E139" s="24">
        <v>0</v>
      </c>
      <c r="F139" s="13"/>
      <c r="G139" s="20">
        <v>124</v>
      </c>
      <c r="H139" s="14">
        <f t="shared" si="1"/>
        <v>99.428571428571431</v>
      </c>
    </row>
    <row r="140" spans="1:8">
      <c r="A140" s="15">
        <v>44016</v>
      </c>
      <c r="B140" s="27">
        <v>-38.884747831733804</v>
      </c>
      <c r="C140" s="16">
        <v>3.439156001383604</v>
      </c>
      <c r="D140" s="26">
        <v>64</v>
      </c>
      <c r="E140" s="24">
        <v>0</v>
      </c>
      <c r="F140" s="13"/>
      <c r="G140" s="20">
        <v>131</v>
      </c>
      <c r="H140" s="14">
        <f t="shared" si="1"/>
        <v>106.85714285714286</v>
      </c>
    </row>
    <row r="141" spans="1:8">
      <c r="A141" s="15">
        <v>44017</v>
      </c>
      <c r="B141" s="27">
        <v>-42.170817373021393</v>
      </c>
      <c r="C141" s="16">
        <v>3.4354341058457281</v>
      </c>
      <c r="D141" s="26">
        <v>24</v>
      </c>
      <c r="E141" s="24">
        <v>0</v>
      </c>
      <c r="F141" s="13"/>
      <c r="G141" s="20">
        <v>111</v>
      </c>
      <c r="H141" s="14">
        <f t="shared" si="1"/>
        <v>108</v>
      </c>
    </row>
    <row r="142" spans="1:8">
      <c r="A142" s="15">
        <v>44018</v>
      </c>
      <c r="B142" s="27">
        <v>-33.760048144181305</v>
      </c>
      <c r="C142" s="16">
        <v>3.43425804219993</v>
      </c>
      <c r="D142" s="26">
        <v>21</v>
      </c>
      <c r="E142" s="24">
        <v>0</v>
      </c>
      <c r="F142" s="13"/>
      <c r="G142" s="20">
        <v>102</v>
      </c>
      <c r="H142" s="14">
        <f t="shared" si="1"/>
        <v>124.71428571428571</v>
      </c>
    </row>
    <row r="143" spans="1:8">
      <c r="A143" s="15">
        <v>44019</v>
      </c>
      <c r="B143" s="27">
        <v>-31.678428877190949</v>
      </c>
      <c r="C143" s="16">
        <v>3.4356278104462121</v>
      </c>
      <c r="D143" s="26">
        <v>22</v>
      </c>
      <c r="E143" s="24">
        <v>0</v>
      </c>
      <c r="F143" s="13"/>
      <c r="G143" s="20">
        <v>106</v>
      </c>
      <c r="H143" s="14">
        <f t="shared" si="1"/>
        <v>141.71428571428572</v>
      </c>
    </row>
    <row r="144" spans="1:8">
      <c r="A144" s="15">
        <v>44020</v>
      </c>
      <c r="B144" s="27">
        <v>-34.410844666134345</v>
      </c>
      <c r="C144" s="16">
        <v>3.4395434105845721</v>
      </c>
      <c r="D144" s="26">
        <v>26</v>
      </c>
      <c r="E144" s="24">
        <v>0</v>
      </c>
      <c r="F144" s="13"/>
      <c r="G144" s="20">
        <v>75</v>
      </c>
      <c r="H144" s="14">
        <f t="shared" si="1"/>
        <v>152.42857142857142</v>
      </c>
    </row>
    <row r="145" spans="1:8">
      <c r="A145" s="15">
        <v>44021</v>
      </c>
      <c r="B145" s="27">
        <v>-35.14319408823232</v>
      </c>
      <c r="C145" s="16">
        <v>3.4460048426150114</v>
      </c>
      <c r="D145" s="26">
        <v>38</v>
      </c>
      <c r="E145" s="24">
        <v>0</v>
      </c>
      <c r="F145" s="13"/>
      <c r="G145" s="20">
        <v>224</v>
      </c>
      <c r="H145" s="14">
        <f t="shared" si="1"/>
        <v>166</v>
      </c>
    </row>
    <row r="146" spans="1:8">
      <c r="A146" s="15">
        <v>44022</v>
      </c>
      <c r="B146" s="27">
        <v>-35.966638232972805</v>
      </c>
      <c r="C146" s="16">
        <v>3.4550121065375294</v>
      </c>
      <c r="D146" s="26">
        <v>59</v>
      </c>
      <c r="E146" s="24">
        <v>0</v>
      </c>
      <c r="F146" s="13"/>
      <c r="G146" s="20">
        <v>243</v>
      </c>
      <c r="H146" s="14">
        <f t="shared" si="1"/>
        <v>168.28571428571428</v>
      </c>
    </row>
    <row r="147" spans="1:8">
      <c r="A147" s="15">
        <v>44023</v>
      </c>
      <c r="B147" s="27">
        <v>-39.432980437212379</v>
      </c>
      <c r="C147" s="16">
        <v>3.4608509166378414</v>
      </c>
      <c r="D147" s="26">
        <v>55</v>
      </c>
      <c r="E147" s="24">
        <v>0</v>
      </c>
      <c r="F147" s="13"/>
      <c r="G147" s="20">
        <v>206</v>
      </c>
      <c r="H147" s="14">
        <f t="shared" si="1"/>
        <v>173.57142857142858</v>
      </c>
    </row>
    <row r="148" spans="1:8">
      <c r="A148" s="15">
        <v>44024</v>
      </c>
      <c r="B148" s="27">
        <v>-43.278638728396039</v>
      </c>
      <c r="C148" s="16">
        <v>3.4635212729159455</v>
      </c>
      <c r="D148" s="26">
        <v>35</v>
      </c>
      <c r="E148" s="24">
        <v>0</v>
      </c>
      <c r="F148" s="13"/>
      <c r="G148" s="20">
        <v>206</v>
      </c>
      <c r="H148" s="14">
        <f t="shared" si="1"/>
        <v>186.42857142857142</v>
      </c>
    </row>
    <row r="149" spans="1:8">
      <c r="A149" s="15">
        <v>44025</v>
      </c>
      <c r="B149" s="27">
        <v>-34.118427236518876</v>
      </c>
      <c r="C149" s="16">
        <v>3.4630231753718435</v>
      </c>
      <c r="D149" s="26">
        <v>19</v>
      </c>
      <c r="E149" s="24">
        <v>0</v>
      </c>
      <c r="F149" s="13"/>
      <c r="G149" s="20">
        <v>118</v>
      </c>
      <c r="H149" s="14">
        <f t="shared" ref="H149:H212" si="2">SUM(G146:G152)/7</f>
        <v>195.28571428571428</v>
      </c>
    </row>
    <row r="150" spans="1:8">
      <c r="A150" s="15">
        <v>44026</v>
      </c>
      <c r="B150" s="27">
        <v>-34.255401457742813</v>
      </c>
      <c r="C150" s="16">
        <v>3.4593566240055331</v>
      </c>
      <c r="D150" s="26">
        <v>25</v>
      </c>
      <c r="E150" s="24">
        <v>0</v>
      </c>
      <c r="F150" s="13"/>
      <c r="G150" s="20">
        <v>143</v>
      </c>
      <c r="H150" s="14">
        <f t="shared" si="2"/>
        <v>202.42857142857142</v>
      </c>
    </row>
    <row r="151" spans="1:8">
      <c r="A151" s="15">
        <v>44027</v>
      </c>
      <c r="B151" s="27">
        <v>-35.657084235389817</v>
      </c>
      <c r="C151" s="16">
        <v>3.4525216188170176</v>
      </c>
      <c r="D151" s="26">
        <v>27</v>
      </c>
      <c r="E151" s="24">
        <v>0</v>
      </c>
      <c r="F151" s="13"/>
      <c r="G151" s="20">
        <v>165</v>
      </c>
      <c r="H151" s="14">
        <f t="shared" si="2"/>
        <v>214.42857142857142</v>
      </c>
    </row>
    <row r="152" spans="1:8">
      <c r="A152" s="15">
        <v>44028</v>
      </c>
      <c r="B152" s="27">
        <v>-35.69816089692813</v>
      </c>
      <c r="C152" s="16">
        <v>3.4425181598062946</v>
      </c>
      <c r="D152" s="26">
        <v>15</v>
      </c>
      <c r="E152" s="24">
        <v>0</v>
      </c>
      <c r="F152" s="13"/>
      <c r="G152" s="20">
        <v>286</v>
      </c>
      <c r="H152" s="14">
        <f t="shared" si="2"/>
        <v>211.85714285714286</v>
      </c>
    </row>
    <row r="153" spans="1:8">
      <c r="A153" s="15">
        <v>44029</v>
      </c>
      <c r="B153" s="27">
        <v>-38.261959556486431</v>
      </c>
      <c r="C153" s="16">
        <v>3.4293462469733647</v>
      </c>
      <c r="D153" s="26">
        <v>42</v>
      </c>
      <c r="E153" s="24">
        <v>0</v>
      </c>
      <c r="F153" s="13"/>
      <c r="G153" s="20">
        <v>293</v>
      </c>
      <c r="H153" s="14">
        <f t="shared" si="2"/>
        <v>219</v>
      </c>
    </row>
    <row r="154" spans="1:8">
      <c r="A154" s="15">
        <v>44030</v>
      </c>
      <c r="B154" s="27">
        <v>-43.800421165025504</v>
      </c>
      <c r="C154" s="16">
        <v>3.4203528190937389</v>
      </c>
      <c r="D154" s="26">
        <v>44</v>
      </c>
      <c r="E154" s="24">
        <v>0</v>
      </c>
      <c r="F154" s="13"/>
      <c r="G154" s="20">
        <v>290</v>
      </c>
      <c r="H154" s="14">
        <f t="shared" si="2"/>
        <v>232.42857142857142</v>
      </c>
    </row>
    <row r="155" spans="1:8">
      <c r="A155" s="15">
        <v>44031</v>
      </c>
      <c r="B155" s="27">
        <v>-45.684426398161513</v>
      </c>
      <c r="C155" s="16">
        <v>3.415537876167416</v>
      </c>
      <c r="D155" s="26">
        <v>28</v>
      </c>
      <c r="E155" s="24">
        <v>0</v>
      </c>
      <c r="F155" s="13"/>
      <c r="G155" s="20">
        <v>188</v>
      </c>
      <c r="H155" s="14">
        <f t="shared" si="2"/>
        <v>242.85714285714286</v>
      </c>
    </row>
    <row r="156" spans="1:8">
      <c r="A156" s="15">
        <v>44032</v>
      </c>
      <c r="B156" s="27">
        <v>-33.853312888610709</v>
      </c>
      <c r="C156" s="16">
        <v>3.414901418194396</v>
      </c>
      <c r="D156" s="26">
        <v>21</v>
      </c>
      <c r="E156" s="24">
        <v>0</v>
      </c>
      <c r="F156" s="13"/>
      <c r="G156" s="20">
        <v>168</v>
      </c>
      <c r="H156" s="14">
        <f t="shared" si="2"/>
        <v>254.28571428571428</v>
      </c>
    </row>
    <row r="157" spans="1:8">
      <c r="A157" s="15">
        <v>44033</v>
      </c>
      <c r="B157" s="27">
        <v>-33.694105397119223</v>
      </c>
      <c r="C157" s="16">
        <v>3.4184434451746797</v>
      </c>
      <c r="D157" s="26">
        <v>23</v>
      </c>
      <c r="E157" s="24">
        <v>0</v>
      </c>
      <c r="F157" s="13"/>
      <c r="G157" s="20">
        <v>237</v>
      </c>
      <c r="H157" s="14">
        <f t="shared" si="2"/>
        <v>249.57142857142858</v>
      </c>
    </row>
    <row r="158" spans="1:8">
      <c r="A158" s="15">
        <v>44034</v>
      </c>
      <c r="B158" s="27">
        <v>-31.998492867761335</v>
      </c>
      <c r="C158" s="16">
        <v>3.4261639571082667</v>
      </c>
      <c r="D158" s="26">
        <v>39</v>
      </c>
      <c r="E158" s="24">
        <v>0</v>
      </c>
      <c r="F158" s="13"/>
      <c r="G158" s="20">
        <v>238</v>
      </c>
      <c r="H158" s="14">
        <f t="shared" si="2"/>
        <v>250.28571428571428</v>
      </c>
    </row>
    <row r="159" spans="1:8">
      <c r="A159" s="15">
        <v>44035</v>
      </c>
      <c r="B159" s="27">
        <v>-52.907449804647655</v>
      </c>
      <c r="C159" s="16">
        <v>3.438062953995157</v>
      </c>
      <c r="D159" s="26">
        <v>40</v>
      </c>
      <c r="E159" s="24">
        <v>0</v>
      </c>
      <c r="F159" s="13"/>
      <c r="G159" s="20">
        <v>366</v>
      </c>
      <c r="H159" s="14">
        <f t="shared" si="2"/>
        <v>257.57142857142856</v>
      </c>
    </row>
    <row r="160" spans="1:8">
      <c r="A160" s="15">
        <v>44036</v>
      </c>
      <c r="B160" s="27">
        <v>-56.697566349081171</v>
      </c>
      <c r="C160" s="16">
        <v>3.4541404358353511</v>
      </c>
      <c r="D160" s="26">
        <v>27</v>
      </c>
      <c r="E160" s="24">
        <v>0</v>
      </c>
      <c r="F160" s="13"/>
      <c r="G160" s="20">
        <v>260</v>
      </c>
      <c r="H160" s="14">
        <f t="shared" si="2"/>
        <v>252.28571428571428</v>
      </c>
    </row>
    <row r="161" spans="1:8">
      <c r="A161" s="15">
        <v>44037</v>
      </c>
      <c r="B161" s="27">
        <v>-46.661432023527794</v>
      </c>
      <c r="C161" s="16">
        <v>3.4725147007955721</v>
      </c>
      <c r="D161" s="26">
        <v>33</v>
      </c>
      <c r="E161" s="24">
        <v>0</v>
      </c>
      <c r="F161" s="13"/>
      <c r="G161" s="20">
        <v>295</v>
      </c>
      <c r="H161" s="14">
        <f t="shared" si="2"/>
        <v>256.42857142857144</v>
      </c>
    </row>
    <row r="162" spans="1:8">
      <c r="A162" s="15">
        <v>44038</v>
      </c>
      <c r="B162" s="27">
        <v>-46.749017563166348</v>
      </c>
      <c r="C162" s="16">
        <v>3.4931857488758213</v>
      </c>
      <c r="D162" s="26">
        <v>42</v>
      </c>
      <c r="E162" s="24">
        <v>0</v>
      </c>
      <c r="F162" s="13"/>
      <c r="G162" s="20">
        <v>239</v>
      </c>
      <c r="H162" s="14">
        <f t="shared" si="2"/>
        <v>258.14285714285717</v>
      </c>
    </row>
    <row r="163" spans="1:8">
      <c r="A163" s="15">
        <v>44039</v>
      </c>
      <c r="B163" s="27">
        <v>-34.526688725446341</v>
      </c>
      <c r="C163" s="16">
        <v>3.5161535800760975</v>
      </c>
      <c r="D163" s="26">
        <v>24</v>
      </c>
      <c r="E163" s="24">
        <v>0</v>
      </c>
      <c r="F163" s="13"/>
      <c r="G163" s="20">
        <v>131</v>
      </c>
      <c r="H163" s="14">
        <f t="shared" si="2"/>
        <v>258.28571428571428</v>
      </c>
    </row>
    <row r="164" spans="1:8">
      <c r="A164" s="15">
        <v>44040</v>
      </c>
      <c r="B164" s="27">
        <v>-34.930981373286286</v>
      </c>
      <c r="C164" s="16">
        <v>3.5414181943964023</v>
      </c>
      <c r="D164" s="26">
        <v>9</v>
      </c>
      <c r="E164" s="24">
        <v>0</v>
      </c>
      <c r="F164" s="13"/>
      <c r="G164" s="20">
        <v>266</v>
      </c>
      <c r="H164" s="14">
        <f t="shared" si="2"/>
        <v>287.14285714285717</v>
      </c>
    </row>
    <row r="165" spans="1:8">
      <c r="A165" s="15">
        <v>44041</v>
      </c>
      <c r="B165" s="27">
        <v>-37.231041491754475</v>
      </c>
      <c r="C165" s="16">
        <v>3.568979591836734</v>
      </c>
      <c r="D165" s="26">
        <v>20</v>
      </c>
      <c r="E165" s="24">
        <v>0</v>
      </c>
      <c r="F165" s="13"/>
      <c r="G165" s="20">
        <v>250</v>
      </c>
      <c r="H165" s="14">
        <f t="shared" si="2"/>
        <v>312.42857142857144</v>
      </c>
    </row>
    <row r="166" spans="1:8">
      <c r="A166" s="15">
        <v>44042</v>
      </c>
      <c r="B166" s="27">
        <v>-37.091990605847748</v>
      </c>
      <c r="C166" s="16">
        <v>3.5988377723970935</v>
      </c>
      <c r="D166" s="26">
        <v>23</v>
      </c>
      <c r="E166" s="24">
        <v>0</v>
      </c>
      <c r="F166" s="13"/>
      <c r="G166" s="20">
        <v>367</v>
      </c>
      <c r="H166" s="14">
        <f t="shared" si="2"/>
        <v>320</v>
      </c>
    </row>
    <row r="167" spans="1:8">
      <c r="A167" s="15">
        <v>44043</v>
      </c>
      <c r="B167" s="27">
        <v>-38.169501252188645</v>
      </c>
      <c r="C167" s="16">
        <v>3.6309927360774807</v>
      </c>
      <c r="D167" s="26">
        <v>38</v>
      </c>
      <c r="E167" s="24">
        <v>0</v>
      </c>
      <c r="F167" s="13"/>
      <c r="G167" s="20">
        <v>462</v>
      </c>
      <c r="H167" s="14">
        <f t="shared" si="2"/>
        <v>338.14285714285717</v>
      </c>
    </row>
    <row r="168" spans="1:8">
      <c r="A168" s="15">
        <v>44044</v>
      </c>
      <c r="B168" s="27">
        <v>-43.013273410718632</v>
      </c>
      <c r="C168" s="16">
        <v>3.65166378415773</v>
      </c>
      <c r="D168" s="26">
        <v>45</v>
      </c>
      <c r="E168" s="24">
        <v>0</v>
      </c>
      <c r="F168" s="13"/>
      <c r="G168" s="20">
        <v>472</v>
      </c>
      <c r="H168" s="14">
        <f t="shared" si="2"/>
        <v>344.28571428571428</v>
      </c>
    </row>
    <row r="169" spans="1:8">
      <c r="A169" s="15">
        <v>44045</v>
      </c>
      <c r="B169" s="27">
        <v>-46.008504341473532</v>
      </c>
      <c r="C169" s="16">
        <v>3.6608509166378411</v>
      </c>
      <c r="D169" s="26">
        <v>22</v>
      </c>
      <c r="E169" s="24">
        <v>0</v>
      </c>
      <c r="F169" s="13"/>
      <c r="G169" s="20">
        <v>292</v>
      </c>
      <c r="H169" s="14">
        <f t="shared" si="2"/>
        <v>346.14285714285717</v>
      </c>
    </row>
    <row r="170" spans="1:8">
      <c r="A170" s="15">
        <v>44046</v>
      </c>
      <c r="B170" s="27">
        <v>-34.206214411776628</v>
      </c>
      <c r="C170" s="16">
        <v>3.6585541335178133</v>
      </c>
      <c r="D170" s="26">
        <v>16</v>
      </c>
      <c r="E170" s="24">
        <v>0</v>
      </c>
      <c r="F170" s="13"/>
      <c r="G170" s="20">
        <v>258</v>
      </c>
      <c r="H170" s="14">
        <f t="shared" si="2"/>
        <v>345.14285714285717</v>
      </c>
    </row>
    <row r="171" spans="1:8">
      <c r="A171" s="15">
        <v>44047</v>
      </c>
      <c r="B171" s="27">
        <v>-35.852446925435302</v>
      </c>
      <c r="C171" s="16">
        <v>3.644773434797647</v>
      </c>
      <c r="D171" s="26">
        <v>12</v>
      </c>
      <c r="E171" s="24">
        <v>0</v>
      </c>
      <c r="F171" s="13"/>
      <c r="G171" s="20">
        <v>309</v>
      </c>
      <c r="H171" s="14">
        <f t="shared" si="2"/>
        <v>345</v>
      </c>
    </row>
    <row r="172" spans="1:8">
      <c r="A172" s="15">
        <v>44048</v>
      </c>
      <c r="B172" s="27">
        <v>-37.346305071005496</v>
      </c>
      <c r="C172" s="16">
        <v>3.6195088204773427</v>
      </c>
      <c r="D172" s="26">
        <v>20</v>
      </c>
      <c r="E172" s="24">
        <v>0</v>
      </c>
      <c r="F172" s="13"/>
      <c r="G172" s="20">
        <v>263</v>
      </c>
      <c r="H172" s="14">
        <f t="shared" si="2"/>
        <v>338.85714285714283</v>
      </c>
    </row>
    <row r="173" spans="1:8">
      <c r="A173" s="15">
        <v>44049</v>
      </c>
      <c r="B173" s="27">
        <v>-36.6294777153038</v>
      </c>
      <c r="C173" s="16">
        <v>3.5827602905569003</v>
      </c>
      <c r="D173" s="26">
        <v>25</v>
      </c>
      <c r="E173" s="24">
        <v>0</v>
      </c>
      <c r="F173" s="13"/>
      <c r="G173" s="20">
        <v>360</v>
      </c>
      <c r="H173" s="14">
        <f t="shared" si="2"/>
        <v>344.42857142857144</v>
      </c>
    </row>
    <row r="174" spans="1:8">
      <c r="A174" s="15">
        <v>44050</v>
      </c>
      <c r="B174" s="27">
        <v>-42.071163614761836</v>
      </c>
      <c r="C174" s="16">
        <v>3.5345278450363189</v>
      </c>
      <c r="D174" s="26">
        <v>22</v>
      </c>
      <c r="E174" s="24">
        <v>0</v>
      </c>
      <c r="F174" s="13"/>
      <c r="G174" s="20">
        <v>461</v>
      </c>
      <c r="H174" s="14">
        <f t="shared" si="2"/>
        <v>335.71428571428572</v>
      </c>
    </row>
    <row r="175" spans="1:8">
      <c r="A175" s="15">
        <v>44051</v>
      </c>
      <c r="B175" s="27">
        <v>-45.125186542700327</v>
      </c>
      <c r="C175" s="16">
        <v>3.4992736077481834</v>
      </c>
      <c r="D175" s="26">
        <v>34</v>
      </c>
      <c r="E175" s="24">
        <v>0</v>
      </c>
      <c r="F175" s="13"/>
      <c r="G175" s="20">
        <v>429</v>
      </c>
      <c r="H175" s="14">
        <f t="shared" si="2"/>
        <v>318.42857142857144</v>
      </c>
    </row>
    <row r="176" spans="1:8">
      <c r="A176" s="15">
        <v>44052</v>
      </c>
      <c r="B176" s="27">
        <v>-46.005577076374891</v>
      </c>
      <c r="C176" s="16">
        <v>3.4769975786924929</v>
      </c>
      <c r="D176" s="26">
        <v>41</v>
      </c>
      <c r="E176" s="24">
        <v>0</v>
      </c>
      <c r="F176" s="13"/>
      <c r="G176" s="20">
        <v>331</v>
      </c>
      <c r="H176" s="14">
        <f t="shared" si="2"/>
        <v>312.57142857142856</v>
      </c>
    </row>
    <row r="177" spans="1:8">
      <c r="A177" s="15">
        <v>44053</v>
      </c>
      <c r="B177" s="27">
        <v>-56.046159110238271</v>
      </c>
      <c r="C177" s="16">
        <v>3.4676997578692483</v>
      </c>
      <c r="D177" s="26">
        <v>40</v>
      </c>
      <c r="E177" s="24">
        <v>0</v>
      </c>
      <c r="F177" s="13"/>
      <c r="G177" s="20">
        <v>197</v>
      </c>
      <c r="H177" s="14">
        <f t="shared" si="2"/>
        <v>290.57142857142856</v>
      </c>
    </row>
    <row r="178" spans="1:8">
      <c r="A178" s="15">
        <v>44054</v>
      </c>
      <c r="B178" s="27">
        <v>-42.820472031005956</v>
      </c>
      <c r="C178" s="16">
        <v>3.4713801452784496</v>
      </c>
      <c r="D178" s="26">
        <v>21</v>
      </c>
      <c r="E178" s="24">
        <v>0</v>
      </c>
      <c r="F178" s="13"/>
      <c r="G178" s="20">
        <v>188</v>
      </c>
      <c r="H178" s="14">
        <f t="shared" si="2"/>
        <v>280.28571428571428</v>
      </c>
    </row>
    <row r="179" spans="1:8">
      <c r="A179" s="15">
        <v>44055</v>
      </c>
      <c r="B179" s="27">
        <v>-46.432696690681652</v>
      </c>
      <c r="C179" s="16">
        <v>3.4880387409200964</v>
      </c>
      <c r="D179" s="26">
        <v>22</v>
      </c>
      <c r="E179" s="24">
        <v>0</v>
      </c>
      <c r="F179" s="13"/>
      <c r="G179" s="20">
        <v>222</v>
      </c>
      <c r="H179" s="14">
        <f t="shared" si="2"/>
        <v>274</v>
      </c>
    </row>
    <row r="180" spans="1:8">
      <c r="A180" s="15">
        <v>44056</v>
      </c>
      <c r="B180" s="27">
        <v>-47.560033352924755</v>
      </c>
      <c r="C180" s="16">
        <v>3.5176755447941876</v>
      </c>
      <c r="D180" s="26">
        <v>41</v>
      </c>
      <c r="E180" s="24">
        <v>0</v>
      </c>
      <c r="F180" s="13"/>
      <c r="G180" s="20">
        <v>206</v>
      </c>
      <c r="H180" s="14">
        <f t="shared" si="2"/>
        <v>263.85714285714283</v>
      </c>
    </row>
    <row r="181" spans="1:8">
      <c r="A181" s="15">
        <v>44057</v>
      </c>
      <c r="B181" s="27">
        <v>-48.947367736150937</v>
      </c>
      <c r="C181" s="16">
        <v>3.5602905569007253</v>
      </c>
      <c r="D181" s="26">
        <v>46</v>
      </c>
      <c r="E181" s="24">
        <v>0</v>
      </c>
      <c r="F181" s="13"/>
      <c r="G181" s="20">
        <v>389</v>
      </c>
      <c r="H181" s="14">
        <f t="shared" si="2"/>
        <v>258.71428571428572</v>
      </c>
    </row>
    <row r="182" spans="1:8">
      <c r="A182" s="15">
        <v>44058</v>
      </c>
      <c r="B182" s="27">
        <v>-47.234836185849602</v>
      </c>
      <c r="C182" s="16">
        <v>3.596762365963333</v>
      </c>
      <c r="D182" s="26">
        <v>49</v>
      </c>
      <c r="E182" s="24">
        <v>0</v>
      </c>
      <c r="F182" s="13"/>
      <c r="G182" s="20">
        <v>385</v>
      </c>
      <c r="H182" s="14">
        <f t="shared" si="2"/>
        <v>261.42857142857144</v>
      </c>
    </row>
    <row r="183" spans="1:8">
      <c r="A183" s="15">
        <v>44059</v>
      </c>
      <c r="B183" s="27">
        <v>-48.609315745419572</v>
      </c>
      <c r="C183" s="16">
        <v>3.6270909719820126</v>
      </c>
      <c r="D183" s="26">
        <v>38</v>
      </c>
      <c r="E183" s="24">
        <v>0</v>
      </c>
      <c r="F183" s="13"/>
      <c r="G183" s="20">
        <v>260</v>
      </c>
      <c r="H183" s="14">
        <f t="shared" si="2"/>
        <v>256.28571428571428</v>
      </c>
    </row>
    <row r="184" spans="1:8">
      <c r="A184" s="15">
        <v>44060</v>
      </c>
      <c r="B184" s="27">
        <v>-40.313046729872951</v>
      </c>
      <c r="C184" s="16">
        <v>3.6512763749567614</v>
      </c>
      <c r="D184" s="26">
        <v>16</v>
      </c>
      <c r="E184" s="24">
        <v>0</v>
      </c>
      <c r="F184" s="13"/>
      <c r="G184" s="20">
        <v>161</v>
      </c>
      <c r="H184" s="14">
        <f t="shared" si="2"/>
        <v>275.28571428571428</v>
      </c>
    </row>
    <row r="185" spans="1:8">
      <c r="A185" s="15">
        <v>44061</v>
      </c>
      <c r="B185" s="27">
        <v>-38.626786024180021</v>
      </c>
      <c r="C185" s="16">
        <v>3.6693185748875812</v>
      </c>
      <c r="D185" s="26">
        <v>21</v>
      </c>
      <c r="E185" s="24">
        <v>0</v>
      </c>
      <c r="F185" s="13"/>
      <c r="G185" s="20">
        <v>207</v>
      </c>
      <c r="H185" s="14">
        <f t="shared" si="2"/>
        <v>256.57142857142856</v>
      </c>
    </row>
    <row r="186" spans="1:8">
      <c r="A186" s="15">
        <v>44062</v>
      </c>
      <c r="B186" s="27">
        <v>-40.710295266288469</v>
      </c>
      <c r="C186" s="16">
        <v>3.6812175717744715</v>
      </c>
      <c r="D186" s="26">
        <v>19</v>
      </c>
      <c r="E186" s="24">
        <v>0</v>
      </c>
      <c r="F186" s="13"/>
      <c r="G186" s="20">
        <v>186</v>
      </c>
      <c r="H186" s="14">
        <f t="shared" si="2"/>
        <v>238.14285714285714</v>
      </c>
    </row>
    <row r="187" spans="1:8">
      <c r="A187" s="15">
        <v>44063</v>
      </c>
      <c r="B187" s="27">
        <v>-38.647058557739733</v>
      </c>
      <c r="C187" s="16">
        <v>3.6869733656174328</v>
      </c>
      <c r="D187" s="26">
        <v>26</v>
      </c>
      <c r="E187" s="24">
        <v>0</v>
      </c>
      <c r="F187" s="13"/>
      <c r="G187" s="20">
        <v>339</v>
      </c>
      <c r="H187" s="14">
        <f t="shared" si="2"/>
        <v>231.28571428571428</v>
      </c>
    </row>
    <row r="188" spans="1:8">
      <c r="A188" s="15">
        <v>44064</v>
      </c>
      <c r="B188" s="27">
        <v>-39.888828811595225</v>
      </c>
      <c r="C188" s="16">
        <v>3.6865859564164642</v>
      </c>
      <c r="D188" s="26">
        <v>35</v>
      </c>
      <c r="E188" s="24">
        <v>0</v>
      </c>
      <c r="F188" s="13"/>
      <c r="G188" s="20">
        <v>258</v>
      </c>
      <c r="H188" s="14">
        <f t="shared" si="2"/>
        <v>221.85714285714286</v>
      </c>
    </row>
    <row r="189" spans="1:8">
      <c r="A189" s="15">
        <v>44065</v>
      </c>
      <c r="B189" s="27">
        <v>-41.400576643292894</v>
      </c>
      <c r="C189" s="16">
        <v>3.6894361812521614</v>
      </c>
      <c r="D189" s="26">
        <v>45</v>
      </c>
      <c r="E189" s="24">
        <v>0</v>
      </c>
      <c r="F189" s="13"/>
      <c r="G189" s="20">
        <v>256</v>
      </c>
      <c r="H189" s="14">
        <f t="shared" si="2"/>
        <v>218.28571428571428</v>
      </c>
    </row>
    <row r="190" spans="1:8">
      <c r="A190" s="15">
        <v>44066</v>
      </c>
      <c r="B190" s="27">
        <v>-45.194130706204824</v>
      </c>
      <c r="C190" s="16">
        <v>3.695524040124524</v>
      </c>
      <c r="D190" s="26">
        <v>34</v>
      </c>
      <c r="E190" s="24">
        <v>0</v>
      </c>
      <c r="F190" s="13"/>
      <c r="G190" s="20">
        <v>212</v>
      </c>
      <c r="H190" s="14">
        <f t="shared" si="2"/>
        <v>225.42857142857142</v>
      </c>
    </row>
    <row r="191" spans="1:8">
      <c r="A191" s="15">
        <v>44067</v>
      </c>
      <c r="B191" s="27">
        <v>-36.669075579864604</v>
      </c>
      <c r="C191" s="16">
        <v>3.7048495330335518</v>
      </c>
      <c r="D191" s="26">
        <v>19</v>
      </c>
      <c r="E191" s="24">
        <v>0</v>
      </c>
      <c r="F191" s="13"/>
      <c r="G191" s="20">
        <v>95</v>
      </c>
      <c r="H191" s="14">
        <f t="shared" si="2"/>
        <v>212.71428571428572</v>
      </c>
    </row>
    <row r="192" spans="1:8">
      <c r="A192" s="15">
        <v>44068</v>
      </c>
      <c r="B192" s="27">
        <v>-34.305041360559954</v>
      </c>
      <c r="C192" s="16">
        <v>3.717412659979245</v>
      </c>
      <c r="D192" s="26">
        <v>25</v>
      </c>
      <c r="E192" s="24">
        <v>0</v>
      </c>
      <c r="F192" s="13"/>
      <c r="G192" s="20">
        <v>182</v>
      </c>
      <c r="H192" s="14">
        <f t="shared" si="2"/>
        <v>208.14285714285714</v>
      </c>
    </row>
    <row r="193" spans="1:8">
      <c r="A193" s="15">
        <v>44069</v>
      </c>
      <c r="B193" s="27">
        <v>-37.040038249400439</v>
      </c>
      <c r="C193" s="16">
        <v>3.7332134209616044</v>
      </c>
      <c r="D193" s="26">
        <v>24</v>
      </c>
      <c r="E193" s="24">
        <v>0</v>
      </c>
      <c r="F193" s="13"/>
      <c r="G193" s="20">
        <v>236</v>
      </c>
      <c r="H193" s="14">
        <f t="shared" si="2"/>
        <v>206.85714285714286</v>
      </c>
    </row>
    <row r="194" spans="1:8">
      <c r="A194" s="15">
        <v>44070</v>
      </c>
      <c r="B194" s="27">
        <v>-37.096509030419078</v>
      </c>
      <c r="C194" s="16">
        <v>3.7522518159806286</v>
      </c>
      <c r="D194" s="26">
        <v>26</v>
      </c>
      <c r="E194" s="24">
        <v>0</v>
      </c>
      <c r="F194" s="13"/>
      <c r="G194" s="20">
        <v>250</v>
      </c>
      <c r="H194" s="14">
        <f t="shared" si="2"/>
        <v>197.71428571428572</v>
      </c>
    </row>
    <row r="195" spans="1:8">
      <c r="A195" s="15">
        <v>44071</v>
      </c>
      <c r="B195" s="27">
        <v>-37.782328036337873</v>
      </c>
      <c r="C195" s="16">
        <v>3.7745278450363187</v>
      </c>
      <c r="D195" s="26">
        <v>43</v>
      </c>
      <c r="E195" s="24">
        <v>0</v>
      </c>
      <c r="F195" s="13"/>
      <c r="G195" s="20">
        <v>226</v>
      </c>
      <c r="H195" s="14">
        <f t="shared" si="2"/>
        <v>198.42857142857142</v>
      </c>
    </row>
    <row r="196" spans="1:8">
      <c r="A196" s="15">
        <v>44072</v>
      </c>
      <c r="B196" s="27">
        <v>-37.673352024027324</v>
      </c>
      <c r="C196" s="16">
        <v>3.7954756139744021</v>
      </c>
      <c r="D196" s="26">
        <v>44</v>
      </c>
      <c r="E196" s="24">
        <v>0</v>
      </c>
      <c r="F196" s="13"/>
      <c r="G196" s="20">
        <v>247</v>
      </c>
      <c r="H196" s="14">
        <f t="shared" si="2"/>
        <v>196.71428571428572</v>
      </c>
    </row>
    <row r="197" spans="1:8">
      <c r="A197" s="15">
        <v>44073</v>
      </c>
      <c r="B197" s="27">
        <v>-41.532291764330552</v>
      </c>
      <c r="C197" s="16">
        <v>3.8150951227948795</v>
      </c>
      <c r="D197" s="26">
        <v>42</v>
      </c>
      <c r="E197" s="24">
        <v>0</v>
      </c>
      <c r="F197" s="13"/>
      <c r="G197" s="20">
        <v>148</v>
      </c>
      <c r="H197" s="14">
        <f t="shared" si="2"/>
        <v>183.14285714285714</v>
      </c>
    </row>
    <row r="198" spans="1:8">
      <c r="A198" s="15">
        <v>44074</v>
      </c>
      <c r="B198" s="27">
        <v>-33.752233478829737</v>
      </c>
      <c r="C198" s="16">
        <v>3.8333863714977503</v>
      </c>
      <c r="D198" s="26">
        <v>34</v>
      </c>
      <c r="E198" s="24">
        <v>0</v>
      </c>
      <c r="F198" s="13"/>
      <c r="G198" s="20">
        <v>100</v>
      </c>
      <c r="H198" s="14">
        <f t="shared" si="2"/>
        <v>177.57142857142858</v>
      </c>
    </row>
    <row r="199" spans="1:8">
      <c r="A199" s="15">
        <v>44075</v>
      </c>
      <c r="B199" s="27">
        <v>-33.838216578932148</v>
      </c>
      <c r="C199" s="16">
        <v>3.8503493600830154</v>
      </c>
      <c r="D199" s="26">
        <v>18</v>
      </c>
      <c r="E199" s="24">
        <v>0</v>
      </c>
      <c r="F199" s="13"/>
      <c r="G199" s="20">
        <v>170</v>
      </c>
      <c r="H199" s="14">
        <f t="shared" si="2"/>
        <v>164.71428571428572</v>
      </c>
    </row>
    <row r="200" spans="1:8">
      <c r="A200" s="15">
        <v>44076</v>
      </c>
      <c r="B200" s="27">
        <v>-36.783150205855179</v>
      </c>
      <c r="C200" s="16">
        <v>3.8659840885506731</v>
      </c>
      <c r="D200" s="26">
        <v>23</v>
      </c>
      <c r="E200" s="24">
        <v>0</v>
      </c>
      <c r="F200" s="13"/>
      <c r="G200" s="20">
        <v>141</v>
      </c>
      <c r="H200" s="14">
        <f t="shared" si="2"/>
        <v>155.28571428571428</v>
      </c>
    </row>
    <row r="201" spans="1:8">
      <c r="A201" s="15">
        <v>44077</v>
      </c>
      <c r="B201" s="27">
        <v>-35.832392863808778</v>
      </c>
      <c r="C201" s="16">
        <v>3.8802905569007256</v>
      </c>
      <c r="D201" s="26">
        <v>24</v>
      </c>
      <c r="E201" s="24">
        <v>0</v>
      </c>
      <c r="F201" s="13"/>
      <c r="G201" s="20">
        <v>211</v>
      </c>
      <c r="H201" s="14">
        <f t="shared" si="2"/>
        <v>150.71428571428572</v>
      </c>
    </row>
    <row r="202" spans="1:8">
      <c r="A202" s="15">
        <v>44078</v>
      </c>
      <c r="B202" s="27">
        <v>-36.737243389166181</v>
      </c>
      <c r="C202" s="16">
        <v>3.893268765133171</v>
      </c>
      <c r="D202" s="26">
        <v>40</v>
      </c>
      <c r="E202" s="24">
        <v>0</v>
      </c>
      <c r="F202" s="13"/>
      <c r="G202" s="20">
        <v>136</v>
      </c>
      <c r="H202" s="14">
        <f t="shared" si="2"/>
        <v>147.28571428571428</v>
      </c>
    </row>
    <row r="203" spans="1:8">
      <c r="A203" s="15">
        <v>44079</v>
      </c>
      <c r="B203" s="27">
        <v>-37.712885027255524</v>
      </c>
      <c r="C203" s="16">
        <v>3.9037288135593209</v>
      </c>
      <c r="D203" s="26">
        <v>46</v>
      </c>
      <c r="E203" s="24">
        <v>0</v>
      </c>
      <c r="F203" s="13"/>
      <c r="G203" s="20">
        <v>181</v>
      </c>
      <c r="H203" s="14">
        <f t="shared" si="2"/>
        <v>147.28571428571428</v>
      </c>
    </row>
    <row r="204" spans="1:8">
      <c r="A204" s="15">
        <v>44080</v>
      </c>
      <c r="B204" s="27">
        <v>-41.373328542234709</v>
      </c>
      <c r="C204" s="16">
        <v>3.9116707021791757</v>
      </c>
      <c r="D204" s="26">
        <v>34</v>
      </c>
      <c r="E204" s="24">
        <v>0</v>
      </c>
      <c r="F204" s="13"/>
      <c r="G204" s="20">
        <v>116</v>
      </c>
      <c r="H204" s="14">
        <f t="shared" si="2"/>
        <v>148.42857142857142</v>
      </c>
    </row>
    <row r="205" spans="1:8">
      <c r="A205" s="15">
        <v>44081</v>
      </c>
      <c r="B205" s="27">
        <v>-34.590374596348802</v>
      </c>
      <c r="C205" s="16">
        <v>3.9170944309927349</v>
      </c>
      <c r="D205" s="26">
        <v>22</v>
      </c>
      <c r="E205" s="24">
        <v>0</v>
      </c>
      <c r="F205" s="13"/>
      <c r="G205" s="20">
        <v>76</v>
      </c>
      <c r="H205" s="14">
        <f t="shared" si="2"/>
        <v>157.71428571428572</v>
      </c>
    </row>
    <row r="206" spans="1:8">
      <c r="A206" s="15">
        <v>44082</v>
      </c>
      <c r="B206" s="27">
        <v>-33.073950078093368</v>
      </c>
      <c r="C206" s="16">
        <v>3.9199999999999986</v>
      </c>
      <c r="D206" s="26">
        <v>23</v>
      </c>
      <c r="E206" s="24">
        <v>0</v>
      </c>
      <c r="F206" s="13"/>
      <c r="G206" s="20">
        <v>170</v>
      </c>
      <c r="H206" s="14">
        <f t="shared" si="2"/>
        <v>165</v>
      </c>
    </row>
    <row r="207" spans="1:8">
      <c r="A207" s="15">
        <v>44083</v>
      </c>
      <c r="B207" s="27">
        <v>-34.78689644629501</v>
      </c>
      <c r="C207" s="16">
        <v>3.9203874092009676</v>
      </c>
      <c r="D207" s="26">
        <v>28</v>
      </c>
      <c r="E207" s="24">
        <v>0</v>
      </c>
      <c r="F207" s="13"/>
      <c r="G207" s="20">
        <v>149</v>
      </c>
      <c r="H207" s="14">
        <f t="shared" si="2"/>
        <v>171.42857142857142</v>
      </c>
    </row>
    <row r="208" spans="1:8">
      <c r="A208" s="15">
        <v>44084</v>
      </c>
      <c r="B208" s="27">
        <v>-33.077127074434785</v>
      </c>
      <c r="C208" s="16">
        <v>3.9182566585956407</v>
      </c>
      <c r="D208" s="26">
        <v>36</v>
      </c>
      <c r="E208" s="24">
        <v>0</v>
      </c>
      <c r="F208" s="13"/>
      <c r="G208" s="20">
        <v>276</v>
      </c>
      <c r="H208" s="14">
        <f t="shared" si="2"/>
        <v>175.71428571428572</v>
      </c>
    </row>
    <row r="209" spans="1:8">
      <c r="A209" s="15">
        <v>44085</v>
      </c>
      <c r="B209" s="27">
        <v>-34.501327014156338</v>
      </c>
      <c r="C209" s="16">
        <v>3.9136077481840181</v>
      </c>
      <c r="D209" s="26">
        <v>36</v>
      </c>
      <c r="E209" s="24">
        <v>0</v>
      </c>
      <c r="F209" s="13"/>
      <c r="G209" s="20">
        <v>187</v>
      </c>
      <c r="H209" s="14">
        <f t="shared" si="2"/>
        <v>176.28571428571428</v>
      </c>
    </row>
    <row r="210" spans="1:8">
      <c r="A210" s="15">
        <v>44086</v>
      </c>
      <c r="B210" s="27">
        <v>-35.947168609624669</v>
      </c>
      <c r="C210" s="16">
        <v>3.9090556900726385</v>
      </c>
      <c r="D210" s="26">
        <v>36</v>
      </c>
      <c r="E210" s="24">
        <v>0</v>
      </c>
      <c r="F210" s="13"/>
      <c r="G210" s="20">
        <v>226</v>
      </c>
      <c r="H210" s="14">
        <f t="shared" si="2"/>
        <v>179.28571428571428</v>
      </c>
    </row>
    <row r="211" spans="1:8">
      <c r="A211" s="15">
        <v>44087</v>
      </c>
      <c r="B211" s="27">
        <v>-36.046681817738289</v>
      </c>
      <c r="C211" s="16">
        <v>3.9046004842615005</v>
      </c>
      <c r="D211" s="26">
        <v>27</v>
      </c>
      <c r="E211" s="24">
        <v>0</v>
      </c>
      <c r="F211" s="13"/>
      <c r="G211" s="20">
        <v>146</v>
      </c>
      <c r="H211" s="14">
        <f t="shared" si="2"/>
        <v>181.28571428571428</v>
      </c>
    </row>
    <row r="212" spans="1:8">
      <c r="A212" s="15">
        <v>44088</v>
      </c>
      <c r="B212" s="27">
        <v>-32.221033792584905</v>
      </c>
      <c r="C212" s="16">
        <v>3.9002421307506041</v>
      </c>
      <c r="D212" s="26">
        <v>24</v>
      </c>
      <c r="E212" s="24">
        <v>0</v>
      </c>
      <c r="F212" s="13"/>
      <c r="G212" s="20">
        <v>80</v>
      </c>
      <c r="H212" s="14">
        <f t="shared" si="2"/>
        <v>166.28571428571428</v>
      </c>
    </row>
    <row r="213" spans="1:8">
      <c r="A213" s="15">
        <v>44089</v>
      </c>
      <c r="B213" s="27">
        <v>-30.292127031873662</v>
      </c>
      <c r="C213" s="16">
        <v>3.8959806295399502</v>
      </c>
      <c r="D213" s="26">
        <v>28</v>
      </c>
      <c r="E213" s="24">
        <v>0</v>
      </c>
      <c r="F213" s="13"/>
      <c r="G213" s="20">
        <v>191</v>
      </c>
      <c r="H213" s="14">
        <f t="shared" ref="H213:H276" si="3">SUM(G210:G216)/7</f>
        <v>171</v>
      </c>
    </row>
    <row r="214" spans="1:8">
      <c r="A214" s="15">
        <v>44090</v>
      </c>
      <c r="B214" s="27">
        <v>-32.085793711623062</v>
      </c>
      <c r="C214" s="16">
        <v>3.8918159806295387</v>
      </c>
      <c r="D214" s="26">
        <v>22</v>
      </c>
      <c r="E214" s="24">
        <v>0</v>
      </c>
      <c r="F214" s="13"/>
      <c r="G214" s="20">
        <v>163</v>
      </c>
      <c r="H214" s="14">
        <f t="shared" si="3"/>
        <v>169.85714285714286</v>
      </c>
    </row>
    <row r="215" spans="1:8">
      <c r="A215" s="15">
        <v>44091</v>
      </c>
      <c r="B215" s="27">
        <v>-30.984748926787269</v>
      </c>
      <c r="C215" s="16">
        <v>3.8877481840193693</v>
      </c>
      <c r="D215" s="26">
        <v>24</v>
      </c>
      <c r="E215" s="24">
        <v>0</v>
      </c>
      <c r="F215" s="13"/>
      <c r="G215" s="20">
        <v>171</v>
      </c>
      <c r="H215" s="14">
        <f t="shared" si="3"/>
        <v>172.14285714285714</v>
      </c>
    </row>
    <row r="216" spans="1:8">
      <c r="A216" s="15">
        <v>44092</v>
      </c>
      <c r="B216" s="27">
        <v>-31.861710745398717</v>
      </c>
      <c r="C216" s="16">
        <v>3.8837772397094423</v>
      </c>
      <c r="D216" s="26">
        <v>50</v>
      </c>
      <c r="E216" s="24">
        <v>0</v>
      </c>
      <c r="F216" s="13"/>
      <c r="G216" s="20">
        <v>220</v>
      </c>
      <c r="H216" s="14">
        <f t="shared" si="3"/>
        <v>174.57142857142858</v>
      </c>
    </row>
    <row r="217" spans="1:8">
      <c r="A217" s="15">
        <v>44093</v>
      </c>
      <c r="B217" s="27">
        <v>-30.025530593002852</v>
      </c>
      <c r="C217" s="16">
        <v>3.8783950190245582</v>
      </c>
      <c r="D217" s="26">
        <v>56</v>
      </c>
      <c r="E217" s="24">
        <v>0</v>
      </c>
      <c r="F217" s="13"/>
      <c r="G217" s="20">
        <v>218</v>
      </c>
      <c r="H217" s="14">
        <f t="shared" si="3"/>
        <v>159.85714285714286</v>
      </c>
    </row>
    <row r="218" spans="1:8">
      <c r="A218" s="15">
        <v>44094</v>
      </c>
      <c r="B218" s="27">
        <v>-28.792706782642931</v>
      </c>
      <c r="C218" s="16">
        <v>3.8716015219647173</v>
      </c>
      <c r="D218" s="26">
        <v>48</v>
      </c>
      <c r="E218" s="24">
        <v>0</v>
      </c>
      <c r="F218" s="13"/>
      <c r="G218" s="20">
        <v>162</v>
      </c>
      <c r="H218" s="14">
        <f t="shared" si="3"/>
        <v>145</v>
      </c>
    </row>
    <row r="219" spans="1:8">
      <c r="A219" s="15">
        <v>44095</v>
      </c>
      <c r="B219" s="27">
        <v>-39.356334498351437</v>
      </c>
      <c r="C219" s="16">
        <v>3.8633967485299197</v>
      </c>
      <c r="D219" s="26">
        <v>35</v>
      </c>
      <c r="E219" s="24">
        <v>0</v>
      </c>
      <c r="F219" s="13"/>
      <c r="G219" s="20">
        <v>97</v>
      </c>
      <c r="H219" s="14">
        <f t="shared" si="3"/>
        <v>148.14285714285714</v>
      </c>
    </row>
    <row r="220" spans="1:8">
      <c r="A220" s="15">
        <v>44096</v>
      </c>
      <c r="B220" s="27">
        <v>-44.95534939549951</v>
      </c>
      <c r="C220" s="16">
        <v>3.8537806987201653</v>
      </c>
      <c r="D220" s="26">
        <v>45</v>
      </c>
      <c r="E220" s="24">
        <v>0</v>
      </c>
      <c r="F220" s="13"/>
      <c r="G220" s="20">
        <v>88</v>
      </c>
      <c r="H220" s="14">
        <f t="shared" si="3"/>
        <v>144.57142857142858</v>
      </c>
    </row>
    <row r="221" spans="1:8">
      <c r="A221" s="15">
        <v>44097</v>
      </c>
      <c r="B221" s="27">
        <v>-33.496989043691862</v>
      </c>
      <c r="C221" s="16">
        <v>3.8427533725354541</v>
      </c>
      <c r="D221" s="26">
        <v>25</v>
      </c>
      <c r="E221" s="24">
        <v>0</v>
      </c>
      <c r="F221" s="13"/>
      <c r="G221" s="20">
        <v>59</v>
      </c>
      <c r="H221" s="14">
        <f t="shared" si="3"/>
        <v>151.85714285714286</v>
      </c>
    </row>
    <row r="222" spans="1:8">
      <c r="A222" s="15">
        <v>44098</v>
      </c>
      <c r="B222" s="27">
        <v>-36.977396407296354</v>
      </c>
      <c r="C222" s="16">
        <v>3.8303147699757858</v>
      </c>
      <c r="D222" s="26">
        <v>21</v>
      </c>
      <c r="E222" s="24">
        <v>0</v>
      </c>
      <c r="F222" s="13"/>
      <c r="G222" s="20">
        <v>193</v>
      </c>
      <c r="H222" s="14">
        <f t="shared" si="3"/>
        <v>149.28571428571428</v>
      </c>
    </row>
    <row r="223" spans="1:8">
      <c r="A223" s="15">
        <v>44099</v>
      </c>
      <c r="B223" s="27">
        <v>-31.692344829784979</v>
      </c>
      <c r="C223" s="16">
        <v>3.8164648910411612</v>
      </c>
      <c r="D223" s="26">
        <v>53</v>
      </c>
      <c r="E223" s="24">
        <v>0</v>
      </c>
      <c r="F223" s="13"/>
      <c r="G223" s="20">
        <v>195</v>
      </c>
      <c r="H223" s="14">
        <f t="shared" si="3"/>
        <v>146.57142857142858</v>
      </c>
    </row>
    <row r="224" spans="1:8">
      <c r="A224" s="15">
        <v>44100</v>
      </c>
      <c r="B224" s="27">
        <v>-30.523966444168316</v>
      </c>
      <c r="C224" s="16">
        <v>3.7984088550674495</v>
      </c>
      <c r="D224" s="26">
        <v>64</v>
      </c>
      <c r="E224" s="24">
        <v>0</v>
      </c>
      <c r="F224" s="13"/>
      <c r="G224" s="20">
        <v>269</v>
      </c>
      <c r="H224" s="14">
        <f t="shared" si="3"/>
        <v>164.14285714285714</v>
      </c>
    </row>
    <row r="225" spans="1:8">
      <c r="A225" s="15">
        <v>44101</v>
      </c>
      <c r="B225" s="27">
        <v>-32.284467379872886</v>
      </c>
      <c r="C225" s="16">
        <v>3.7761466620546513</v>
      </c>
      <c r="D225" s="26">
        <v>40</v>
      </c>
      <c r="E225" s="24">
        <v>0</v>
      </c>
      <c r="F225" s="13"/>
      <c r="G225" s="20">
        <v>144</v>
      </c>
      <c r="H225" s="14">
        <f t="shared" si="3"/>
        <v>183.42857142857142</v>
      </c>
    </row>
    <row r="226" spans="1:8">
      <c r="A226" s="15">
        <v>44102</v>
      </c>
      <c r="B226" s="27">
        <v>-28.757858942369037</v>
      </c>
      <c r="C226" s="16">
        <v>3.7496783120027666</v>
      </c>
      <c r="D226" s="26">
        <v>32</v>
      </c>
      <c r="E226" s="24">
        <v>0</v>
      </c>
      <c r="F226" s="13"/>
      <c r="G226" s="20">
        <v>78</v>
      </c>
      <c r="H226" s="14">
        <f t="shared" si="3"/>
        <v>189.28571428571428</v>
      </c>
    </row>
    <row r="227" spans="1:8">
      <c r="A227" s="15">
        <v>44103</v>
      </c>
      <c r="B227" s="27">
        <v>-28.181400763579568</v>
      </c>
      <c r="C227" s="16">
        <v>3.7190038049117939</v>
      </c>
      <c r="D227" s="26">
        <v>28</v>
      </c>
      <c r="E227" s="24">
        <v>0</v>
      </c>
      <c r="F227" s="13"/>
      <c r="G227" s="20">
        <v>211</v>
      </c>
      <c r="H227" s="14">
        <f t="shared" si="3"/>
        <v>189.42857142857142</v>
      </c>
    </row>
    <row r="228" spans="1:8">
      <c r="A228" s="15">
        <v>44104</v>
      </c>
      <c r="B228" s="27">
        <v>-28.962011422585881</v>
      </c>
      <c r="C228" s="16">
        <v>3.6841231407817356</v>
      </c>
      <c r="D228" s="26">
        <v>32</v>
      </c>
      <c r="E228" s="24">
        <v>0</v>
      </c>
      <c r="F228" s="13"/>
      <c r="G228" s="20">
        <v>194</v>
      </c>
      <c r="H228" s="14">
        <f t="shared" si="3"/>
        <v>180.28571428571428</v>
      </c>
    </row>
    <row r="229" spans="1:8">
      <c r="A229" s="15">
        <v>44105</v>
      </c>
      <c r="B229" s="27">
        <v>-29.292529410599322</v>
      </c>
      <c r="C229" s="16">
        <v>3.6450363196125903</v>
      </c>
      <c r="D229" s="26">
        <v>41</v>
      </c>
      <c r="E229" s="24">
        <v>0</v>
      </c>
      <c r="F229" s="13"/>
      <c r="G229" s="20">
        <v>234</v>
      </c>
      <c r="H229" s="14">
        <f t="shared" si="3"/>
        <v>175</v>
      </c>
    </row>
    <row r="230" spans="1:8">
      <c r="A230" s="15">
        <v>44106</v>
      </c>
      <c r="B230" s="27">
        <v>-30.982543533807146</v>
      </c>
      <c r="C230" s="16">
        <v>3.6017433414043576</v>
      </c>
      <c r="D230" s="26">
        <v>51</v>
      </c>
      <c r="E230" s="24">
        <v>0</v>
      </c>
      <c r="F230" s="13"/>
      <c r="G230" s="20">
        <v>196</v>
      </c>
      <c r="H230" s="14">
        <f t="shared" si="3"/>
        <v>173.14285714285714</v>
      </c>
    </row>
    <row r="231" spans="1:8">
      <c r="A231" s="15">
        <v>44107</v>
      </c>
      <c r="B231" s="27">
        <v>-28.942880469057325</v>
      </c>
      <c r="C231" s="16">
        <v>3.5698789346246969</v>
      </c>
      <c r="D231" s="26">
        <v>49</v>
      </c>
      <c r="E231" s="24">
        <v>0</v>
      </c>
      <c r="F231" s="13"/>
      <c r="G231" s="20">
        <v>205</v>
      </c>
      <c r="H231" s="14">
        <f t="shared" si="3"/>
        <v>168.14285714285714</v>
      </c>
    </row>
    <row r="232" spans="1:8">
      <c r="A232" s="15">
        <v>44108</v>
      </c>
      <c r="B232" s="27">
        <v>-32.290321910070176</v>
      </c>
      <c r="C232" s="16">
        <v>3.5494430992736072</v>
      </c>
      <c r="D232" s="26">
        <v>34</v>
      </c>
      <c r="E232" s="24">
        <v>0</v>
      </c>
      <c r="F232" s="13"/>
      <c r="G232" s="20">
        <v>107</v>
      </c>
      <c r="H232" s="14">
        <f t="shared" si="3"/>
        <v>160.42857142857142</v>
      </c>
    </row>
    <row r="233" spans="1:8">
      <c r="A233" s="15">
        <v>44109</v>
      </c>
      <c r="B233" s="27">
        <v>-29.716871752942641</v>
      </c>
      <c r="C233" s="16">
        <v>3.5404358353510892</v>
      </c>
      <c r="D233" s="26">
        <v>30</v>
      </c>
      <c r="E233" s="24">
        <v>0</v>
      </c>
      <c r="F233" s="13"/>
      <c r="G233" s="20">
        <v>65</v>
      </c>
      <c r="H233" s="14">
        <f t="shared" si="3"/>
        <v>162.42857142857142</v>
      </c>
    </row>
    <row r="234" spans="1:8">
      <c r="A234" s="15">
        <v>44110</v>
      </c>
      <c r="B234" s="27">
        <v>-28.767462544108291</v>
      </c>
      <c r="C234" s="16">
        <v>3.5428571428571423</v>
      </c>
      <c r="D234" s="26">
        <v>32</v>
      </c>
      <c r="E234" s="24">
        <v>0</v>
      </c>
      <c r="F234" s="13"/>
      <c r="G234" s="20">
        <v>176</v>
      </c>
      <c r="H234" s="14">
        <f t="shared" si="3"/>
        <v>163.42857142857142</v>
      </c>
    </row>
    <row r="235" spans="1:8">
      <c r="A235" s="15">
        <v>44111</v>
      </c>
      <c r="B235" s="27">
        <v>-30.945102151041255</v>
      </c>
      <c r="C235" s="16">
        <v>3.5567070217917669</v>
      </c>
      <c r="D235" s="26">
        <v>43</v>
      </c>
      <c r="E235" s="24">
        <v>0</v>
      </c>
      <c r="F235" s="13"/>
      <c r="G235" s="20">
        <v>140</v>
      </c>
      <c r="H235" s="14">
        <f t="shared" si="3"/>
        <v>169.57142857142858</v>
      </c>
    </row>
    <row r="236" spans="1:8">
      <c r="A236" s="15">
        <v>44112</v>
      </c>
      <c r="B236" s="27">
        <v>-32.881896375841166</v>
      </c>
      <c r="C236" s="16">
        <v>3.5819854721549627</v>
      </c>
      <c r="D236" s="26">
        <v>37</v>
      </c>
      <c r="E236" s="24">
        <v>0</v>
      </c>
      <c r="F236" s="13"/>
      <c r="G236" s="20">
        <v>248</v>
      </c>
      <c r="H236" s="14">
        <f t="shared" si="3"/>
        <v>175.14285714285714</v>
      </c>
    </row>
    <row r="237" spans="1:8">
      <c r="A237" s="15">
        <v>44113</v>
      </c>
      <c r="B237" s="27">
        <v>-32.949380867702644</v>
      </c>
      <c r="C237" s="16">
        <v>3.6186924939467309</v>
      </c>
      <c r="D237" s="26">
        <v>51</v>
      </c>
      <c r="E237" s="24">
        <v>0</v>
      </c>
      <c r="F237" s="13"/>
      <c r="G237" s="20">
        <v>203</v>
      </c>
      <c r="H237" s="14">
        <f t="shared" si="3"/>
        <v>177</v>
      </c>
    </row>
    <row r="238" spans="1:8">
      <c r="A238" s="15">
        <v>44114</v>
      </c>
      <c r="B238" s="27">
        <v>-38.96900425223695</v>
      </c>
      <c r="C238" s="16">
        <v>3.6531442407471459</v>
      </c>
      <c r="D238" s="26">
        <v>47</v>
      </c>
      <c r="E238" s="24">
        <v>0</v>
      </c>
      <c r="F238" s="13"/>
      <c r="G238" s="20">
        <v>248</v>
      </c>
      <c r="H238" s="14">
        <f t="shared" si="3"/>
        <v>175.57142857142858</v>
      </c>
    </row>
    <row r="239" spans="1:8">
      <c r="A239" s="15">
        <v>44115</v>
      </c>
      <c r="B239" s="27">
        <v>-31.537166297081772</v>
      </c>
      <c r="C239" s="16">
        <v>3.6853407125562079</v>
      </c>
      <c r="D239" s="26">
        <v>41</v>
      </c>
      <c r="E239" s="24">
        <v>0</v>
      </c>
      <c r="F239" s="13"/>
      <c r="G239" s="20">
        <v>146</v>
      </c>
      <c r="H239" s="14">
        <f t="shared" si="3"/>
        <v>180.85714285714286</v>
      </c>
    </row>
    <row r="240" spans="1:8">
      <c r="A240" s="15">
        <v>44116</v>
      </c>
      <c r="B240" s="27">
        <v>-28.90023922370429</v>
      </c>
      <c r="C240" s="16">
        <v>3.715281909373918</v>
      </c>
      <c r="D240" s="26">
        <v>29</v>
      </c>
      <c r="E240" s="24">
        <v>0</v>
      </c>
      <c r="F240" s="13"/>
      <c r="G240" s="20">
        <v>78</v>
      </c>
      <c r="H240" s="14">
        <f t="shared" si="3"/>
        <v>186</v>
      </c>
    </row>
    <row r="241" spans="1:8">
      <c r="A241" s="15">
        <v>44117</v>
      </c>
      <c r="B241" s="27">
        <v>-28.446737432752933</v>
      </c>
      <c r="C241" s="16">
        <v>3.7429678312002759</v>
      </c>
      <c r="D241" s="26">
        <v>26</v>
      </c>
      <c r="E241" s="24">
        <v>0</v>
      </c>
      <c r="F241" s="13"/>
      <c r="G241" s="20">
        <v>166</v>
      </c>
      <c r="H241" s="14">
        <f t="shared" si="3"/>
        <v>183.14285714285714</v>
      </c>
    </row>
    <row r="242" spans="1:8">
      <c r="A242" s="15">
        <v>44118</v>
      </c>
      <c r="B242" s="27">
        <v>-29.935065862166351</v>
      </c>
      <c r="C242" s="16">
        <v>3.7683984780352811</v>
      </c>
      <c r="D242" s="26">
        <v>43</v>
      </c>
      <c r="E242" s="24">
        <v>0</v>
      </c>
      <c r="F242" s="13"/>
      <c r="G242" s="20">
        <v>177</v>
      </c>
      <c r="H242" s="14">
        <f t="shared" si="3"/>
        <v>181.28571428571428</v>
      </c>
    </row>
    <row r="243" spans="1:8">
      <c r="A243" s="15">
        <v>44119</v>
      </c>
      <c r="B243" s="27">
        <v>-28.979958701599418</v>
      </c>
      <c r="C243" s="16">
        <v>3.791573849878934</v>
      </c>
      <c r="D243" s="26">
        <v>42</v>
      </c>
      <c r="E243" s="24">
        <v>0</v>
      </c>
      <c r="F243" s="13"/>
      <c r="G243" s="20">
        <v>284</v>
      </c>
      <c r="H243" s="14">
        <f t="shared" si="3"/>
        <v>179.28571428571428</v>
      </c>
    </row>
    <row r="244" spans="1:8">
      <c r="A244" s="15">
        <v>44120</v>
      </c>
      <c r="B244" s="27">
        <v>-27.860693118460496</v>
      </c>
      <c r="C244" s="16">
        <v>3.8124939467312342</v>
      </c>
      <c r="D244" s="26">
        <v>57</v>
      </c>
      <c r="E244" s="24">
        <v>0</v>
      </c>
      <c r="F244" s="13"/>
      <c r="G244" s="20">
        <v>183</v>
      </c>
      <c r="H244" s="14">
        <f t="shared" si="3"/>
        <v>179.28571428571428</v>
      </c>
    </row>
    <row r="245" spans="1:8">
      <c r="A245" s="15">
        <v>44121</v>
      </c>
      <c r="B245" s="27">
        <v>-27.027734762817591</v>
      </c>
      <c r="C245" s="16">
        <v>3.826426841923209</v>
      </c>
      <c r="D245" s="26">
        <v>56</v>
      </c>
      <c r="E245" s="24">
        <v>0</v>
      </c>
      <c r="F245" s="13"/>
      <c r="G245" s="20">
        <v>235</v>
      </c>
      <c r="H245" s="14">
        <f t="shared" si="3"/>
        <v>175.42857142857142</v>
      </c>
    </row>
    <row r="246" spans="1:8">
      <c r="A246" s="15">
        <v>44122</v>
      </c>
      <c r="B246" s="27">
        <v>-26.313398092356486</v>
      </c>
      <c r="C246" s="16">
        <v>3.8333725354548589</v>
      </c>
      <c r="D246" s="26">
        <v>35</v>
      </c>
      <c r="E246" s="24">
        <v>0</v>
      </c>
      <c r="F246" s="13"/>
      <c r="G246" s="20">
        <v>132</v>
      </c>
      <c r="H246" s="14">
        <f t="shared" si="3"/>
        <v>170.85714285714286</v>
      </c>
    </row>
    <row r="247" spans="1:8">
      <c r="A247" s="15">
        <v>44123</v>
      </c>
      <c r="B247" s="27">
        <v>-28.617231483168709</v>
      </c>
      <c r="C247" s="16">
        <v>3.8333310273261838</v>
      </c>
      <c r="D247" s="26">
        <v>30</v>
      </c>
      <c r="E247" s="24">
        <v>0</v>
      </c>
      <c r="F247" s="13"/>
      <c r="G247" s="20">
        <v>78</v>
      </c>
      <c r="H247" s="14">
        <f t="shared" si="3"/>
        <v>156.71428571428572</v>
      </c>
    </row>
    <row r="248" spans="1:8">
      <c r="A248" s="15">
        <v>44124</v>
      </c>
      <c r="B248" s="27">
        <v>-26.645745357783309</v>
      </c>
      <c r="C248" s="16">
        <v>3.8263023175371833</v>
      </c>
      <c r="D248" s="26">
        <v>29</v>
      </c>
      <c r="E248" s="24">
        <v>0</v>
      </c>
      <c r="F248" s="13"/>
      <c r="G248" s="20">
        <v>139</v>
      </c>
      <c r="H248" s="14">
        <f t="shared" si="3"/>
        <v>157.14285714285714</v>
      </c>
    </row>
    <row r="249" spans="1:8">
      <c r="A249" s="15">
        <v>44125</v>
      </c>
      <c r="B249" s="27">
        <v>-28.410905257864822</v>
      </c>
      <c r="C249" s="16">
        <v>3.8122864060878578</v>
      </c>
      <c r="D249" s="26">
        <v>31</v>
      </c>
      <c r="E249" s="24">
        <v>0</v>
      </c>
      <c r="F249" s="13"/>
      <c r="G249" s="20">
        <v>145</v>
      </c>
      <c r="H249" s="14">
        <f t="shared" si="3"/>
        <v>152.28571428571428</v>
      </c>
    </row>
    <row r="250" spans="1:8">
      <c r="A250" s="15">
        <v>44126</v>
      </c>
      <c r="B250" s="27">
        <v>-28.206230629426969</v>
      </c>
      <c r="C250" s="16">
        <v>3.7912832929782079</v>
      </c>
      <c r="D250" s="26">
        <v>36</v>
      </c>
      <c r="E250" s="24">
        <v>0</v>
      </c>
      <c r="F250" s="13"/>
      <c r="G250" s="20">
        <v>185</v>
      </c>
      <c r="H250" s="14">
        <f t="shared" si="3"/>
        <v>151.14285714285714</v>
      </c>
    </row>
    <row r="251" spans="1:8">
      <c r="A251" s="15">
        <v>44127</v>
      </c>
      <c r="B251" s="27">
        <v>-28.716729487562375</v>
      </c>
      <c r="C251" s="16">
        <v>3.7632929782082316</v>
      </c>
      <c r="D251" s="26">
        <v>69</v>
      </c>
      <c r="E251" s="24">
        <v>0</v>
      </c>
      <c r="F251" s="13"/>
      <c r="G251" s="20">
        <v>186</v>
      </c>
      <c r="H251" s="14">
        <f t="shared" si="3"/>
        <v>154.57142857142858</v>
      </c>
    </row>
    <row r="252" spans="1:8">
      <c r="A252" s="15">
        <v>44128</v>
      </c>
      <c r="B252" s="27">
        <v>-21.6707201328746</v>
      </c>
      <c r="C252" s="16">
        <v>3.741708751297129</v>
      </c>
      <c r="D252" s="26">
        <v>53</v>
      </c>
      <c r="E252" s="24">
        <v>0</v>
      </c>
      <c r="F252" s="13"/>
      <c r="G252" s="20">
        <v>201</v>
      </c>
      <c r="H252" s="14">
        <f t="shared" si="3"/>
        <v>157.28571428571428</v>
      </c>
    </row>
    <row r="253" spans="1:8">
      <c r="A253" s="15">
        <v>44129</v>
      </c>
      <c r="B253" s="27">
        <v>-23.488417575639044</v>
      </c>
      <c r="C253" s="16">
        <v>3.7265306122448973</v>
      </c>
      <c r="D253" s="26">
        <v>42</v>
      </c>
      <c r="E253" s="24">
        <v>0</v>
      </c>
      <c r="F253" s="13"/>
      <c r="G253" s="20">
        <v>124</v>
      </c>
      <c r="H253" s="14">
        <f t="shared" si="3"/>
        <v>161</v>
      </c>
    </row>
    <row r="254" spans="1:8">
      <c r="A254" s="15">
        <v>44130</v>
      </c>
      <c r="B254" s="27">
        <v>-26.46936705957879</v>
      </c>
      <c r="C254" s="16">
        <v>3.7177585610515389</v>
      </c>
      <c r="D254" s="26">
        <v>27</v>
      </c>
      <c r="E254" s="24">
        <v>0</v>
      </c>
      <c r="F254" s="13"/>
      <c r="G254" s="20">
        <v>102</v>
      </c>
      <c r="H254" s="14">
        <f t="shared" si="3"/>
        <v>166</v>
      </c>
    </row>
    <row r="255" spans="1:8">
      <c r="A255" s="15">
        <v>44131</v>
      </c>
      <c r="B255" s="27">
        <v>-25.897495227627697</v>
      </c>
      <c r="C255" s="16">
        <v>3.7153925977170528</v>
      </c>
      <c r="D255" s="26">
        <v>37</v>
      </c>
      <c r="E255" s="24">
        <v>0</v>
      </c>
      <c r="F255" s="13"/>
      <c r="G255" s="20">
        <v>158</v>
      </c>
      <c r="H255" s="14">
        <f t="shared" si="3"/>
        <v>168.42857142857142</v>
      </c>
    </row>
    <row r="256" spans="1:8">
      <c r="A256" s="15">
        <v>44132</v>
      </c>
      <c r="B256" s="27">
        <v>-28.122815955404484</v>
      </c>
      <c r="C256" s="16">
        <v>3.7194327222414381</v>
      </c>
      <c r="D256" s="26">
        <v>33</v>
      </c>
      <c r="E256" s="24">
        <v>0</v>
      </c>
      <c r="F256" s="13"/>
      <c r="G256" s="20">
        <v>171</v>
      </c>
      <c r="H256" s="14">
        <f t="shared" si="3"/>
        <v>170.42857142857142</v>
      </c>
    </row>
    <row r="257" spans="1:8">
      <c r="A257" s="15">
        <v>44133</v>
      </c>
      <c r="B257" s="27">
        <v>-27.752789345137774</v>
      </c>
      <c r="C257" s="16">
        <v>3.7298789346246966</v>
      </c>
      <c r="D257" s="26">
        <v>49</v>
      </c>
      <c r="E257" s="24">
        <v>0</v>
      </c>
      <c r="F257" s="13"/>
      <c r="G257" s="20">
        <v>220</v>
      </c>
      <c r="H257" s="14">
        <f t="shared" si="3"/>
        <v>169.28571428571428</v>
      </c>
    </row>
    <row r="258" spans="1:8">
      <c r="A258" s="15">
        <v>44134</v>
      </c>
      <c r="B258" s="27">
        <v>-27.36251788492357</v>
      </c>
      <c r="C258" s="16">
        <v>3.7467312348668274</v>
      </c>
      <c r="D258" s="26">
        <v>68</v>
      </c>
      <c r="E258" s="24">
        <v>0</v>
      </c>
      <c r="F258" s="13"/>
      <c r="G258" s="20">
        <v>203</v>
      </c>
      <c r="H258" s="14">
        <f t="shared" si="3"/>
        <v>167.14285714285714</v>
      </c>
    </row>
    <row r="259" spans="1:8">
      <c r="A259" s="15">
        <v>44135</v>
      </c>
      <c r="B259" s="27">
        <v>-23.937096864833812</v>
      </c>
      <c r="C259" s="16">
        <v>3.7642476651677614</v>
      </c>
      <c r="D259" s="26">
        <v>58</v>
      </c>
      <c r="E259" s="24">
        <v>0</v>
      </c>
      <c r="F259" s="13"/>
      <c r="G259" s="20">
        <v>215</v>
      </c>
      <c r="H259" s="14">
        <f t="shared" si="3"/>
        <v>174.42857142857142</v>
      </c>
    </row>
    <row r="260" spans="1:8">
      <c r="A260" s="15">
        <v>44136</v>
      </c>
      <c r="B260" s="27">
        <v>-25.070116483938857</v>
      </c>
      <c r="C260" s="16">
        <v>3.7824282255274988</v>
      </c>
      <c r="D260" s="26">
        <v>37</v>
      </c>
      <c r="E260" s="24">
        <v>0</v>
      </c>
      <c r="F260" s="13"/>
      <c r="G260" s="20">
        <v>116</v>
      </c>
      <c r="H260" s="14">
        <f t="shared" si="3"/>
        <v>167.42857142857142</v>
      </c>
    </row>
    <row r="261" spans="1:8">
      <c r="A261" s="15">
        <v>44137</v>
      </c>
      <c r="B261" s="27">
        <v>-25.1496380604877</v>
      </c>
      <c r="C261" s="16">
        <v>3.801272915946039</v>
      </c>
      <c r="D261" s="26">
        <v>45</v>
      </c>
      <c r="E261" s="24">
        <v>0</v>
      </c>
      <c r="F261" s="13"/>
      <c r="G261" s="20">
        <v>87</v>
      </c>
      <c r="H261" s="14">
        <f t="shared" si="3"/>
        <v>174.42857142857142</v>
      </c>
    </row>
    <row r="262" spans="1:8">
      <c r="A262" s="15">
        <v>44138</v>
      </c>
      <c r="B262" s="27">
        <v>-40.066053971192225</v>
      </c>
      <c r="C262" s="16">
        <v>3.820781736423382</v>
      </c>
      <c r="D262" s="26">
        <v>33</v>
      </c>
      <c r="E262" s="24">
        <v>0</v>
      </c>
      <c r="F262" s="13"/>
      <c r="G262" s="20">
        <v>209</v>
      </c>
      <c r="H262" s="14">
        <f t="shared" si="3"/>
        <v>180</v>
      </c>
    </row>
    <row r="263" spans="1:8">
      <c r="A263" s="15">
        <v>44139</v>
      </c>
      <c r="B263" s="27">
        <v>-28.147888395604102</v>
      </c>
      <c r="C263" s="16">
        <v>3.8409546869595288</v>
      </c>
      <c r="D263" s="26">
        <v>12</v>
      </c>
      <c r="E263" s="24">
        <v>0</v>
      </c>
      <c r="F263" s="13"/>
      <c r="G263" s="20">
        <v>122</v>
      </c>
      <c r="H263" s="14">
        <f t="shared" si="3"/>
        <v>191.28571428571428</v>
      </c>
    </row>
    <row r="264" spans="1:8">
      <c r="A264" s="15">
        <v>44140</v>
      </c>
      <c r="B264" s="27">
        <v>-27.463888229469234</v>
      </c>
      <c r="C264" s="16">
        <v>3.8617917675544784</v>
      </c>
      <c r="D264" s="26">
        <v>30</v>
      </c>
      <c r="E264" s="24">
        <v>0</v>
      </c>
      <c r="F264" s="13"/>
      <c r="G264" s="20">
        <v>269</v>
      </c>
      <c r="H264" s="14">
        <f t="shared" si="3"/>
        <v>201.71428571428572</v>
      </c>
    </row>
    <row r="265" spans="1:8">
      <c r="A265" s="15">
        <v>44141</v>
      </c>
      <c r="B265" s="27">
        <v>-27.643048482375988</v>
      </c>
      <c r="C265" s="16">
        <v>3.8832929782082317</v>
      </c>
      <c r="D265" s="26">
        <v>53</v>
      </c>
      <c r="E265" s="24">
        <v>0</v>
      </c>
      <c r="F265" s="13"/>
      <c r="G265" s="20">
        <v>242</v>
      </c>
      <c r="H265" s="14">
        <f t="shared" si="3"/>
        <v>211.57142857142858</v>
      </c>
    </row>
    <row r="266" spans="1:8">
      <c r="A266" s="15">
        <v>44142</v>
      </c>
      <c r="B266" s="27">
        <v>-23.940062815717667</v>
      </c>
      <c r="C266" s="16">
        <v>3.900491179522656</v>
      </c>
      <c r="D266" s="26">
        <v>54</v>
      </c>
      <c r="E266" s="24">
        <v>0</v>
      </c>
      <c r="F266" s="13"/>
      <c r="G266" s="20">
        <v>294</v>
      </c>
      <c r="H266" s="14">
        <f t="shared" si="3"/>
        <v>223.57142857142858</v>
      </c>
    </row>
    <row r="267" spans="1:8">
      <c r="A267" s="15">
        <v>44143</v>
      </c>
      <c r="B267" s="27">
        <v>-27.125268703845194</v>
      </c>
      <c r="C267" s="16">
        <v>3.9133863714977508</v>
      </c>
      <c r="D267" s="26">
        <v>32</v>
      </c>
      <c r="E267" s="24">
        <v>0</v>
      </c>
      <c r="F267" s="13"/>
      <c r="G267" s="20">
        <v>189</v>
      </c>
      <c r="H267" s="14">
        <f t="shared" si="3"/>
        <v>251.28571428571428</v>
      </c>
    </row>
    <row r="268" spans="1:8">
      <c r="A268" s="15">
        <v>44144</v>
      </c>
      <c r="B268" s="27">
        <v>-26.643918930515575</v>
      </c>
      <c r="C268" s="16">
        <v>3.921978554133517</v>
      </c>
      <c r="D268" s="26">
        <v>20</v>
      </c>
      <c r="E268" s="24">
        <v>0</v>
      </c>
      <c r="F268" s="13"/>
      <c r="G268" s="20">
        <v>156</v>
      </c>
      <c r="H268" s="14">
        <f t="shared" si="3"/>
        <v>268.85714285714283</v>
      </c>
    </row>
    <row r="269" spans="1:8">
      <c r="A269" s="15">
        <v>44145</v>
      </c>
      <c r="B269" s="27">
        <v>-25.552619020072886</v>
      </c>
      <c r="C269" s="16">
        <v>3.9262677274299542</v>
      </c>
      <c r="D269" s="26">
        <v>38</v>
      </c>
      <c r="E269" s="24">
        <v>0</v>
      </c>
      <c r="F269" s="13"/>
      <c r="G269" s="20">
        <v>293</v>
      </c>
      <c r="H269" s="14">
        <f t="shared" si="3"/>
        <v>287.71428571428572</v>
      </c>
    </row>
    <row r="270" spans="1:8">
      <c r="A270" s="15">
        <v>44146</v>
      </c>
      <c r="B270" s="27">
        <v>-27.480230206788431</v>
      </c>
      <c r="C270" s="16">
        <v>3.9262538913870624</v>
      </c>
      <c r="D270" s="26">
        <v>29</v>
      </c>
      <c r="E270" s="24">
        <v>0</v>
      </c>
      <c r="F270" s="13"/>
      <c r="G270" s="20">
        <v>316</v>
      </c>
      <c r="H270" s="14">
        <f t="shared" si="3"/>
        <v>296</v>
      </c>
    </row>
    <row r="271" spans="1:8">
      <c r="A271" s="15">
        <v>44147</v>
      </c>
      <c r="B271" s="27">
        <v>-28.845691977606684</v>
      </c>
      <c r="C271" s="16">
        <v>3.9219370460048419</v>
      </c>
      <c r="D271" s="26">
        <v>37</v>
      </c>
      <c r="E271" s="24">
        <v>0</v>
      </c>
      <c r="F271" s="13"/>
      <c r="G271" s="20">
        <v>392</v>
      </c>
      <c r="H271" s="14">
        <f t="shared" si="3"/>
        <v>305.42857142857144</v>
      </c>
    </row>
    <row r="272" spans="1:8">
      <c r="A272" s="15">
        <v>44148</v>
      </c>
      <c r="B272" s="27">
        <v>-28.286873198087854</v>
      </c>
      <c r="C272" s="16">
        <v>3.9133171912832929</v>
      </c>
      <c r="D272" s="26">
        <v>58</v>
      </c>
      <c r="E272" s="24">
        <v>0</v>
      </c>
      <c r="F272" s="13"/>
      <c r="G272" s="20">
        <v>374</v>
      </c>
      <c r="H272" s="14">
        <f t="shared" si="3"/>
        <v>308.85714285714283</v>
      </c>
    </row>
    <row r="273" spans="1:8">
      <c r="A273" s="15">
        <v>44149</v>
      </c>
      <c r="B273" s="27">
        <v>-24.45976765677392</v>
      </c>
      <c r="C273" s="16">
        <v>3.9061224489795912</v>
      </c>
      <c r="D273" s="26">
        <v>58</v>
      </c>
      <c r="E273" s="24">
        <v>0</v>
      </c>
      <c r="F273" s="13"/>
      <c r="G273" s="20">
        <v>352</v>
      </c>
      <c r="H273" s="14">
        <f t="shared" si="3"/>
        <v>309.57142857142856</v>
      </c>
    </row>
    <row r="274" spans="1:8">
      <c r="A274" s="15">
        <v>44150</v>
      </c>
      <c r="B274" s="27">
        <v>-26.262701254778548</v>
      </c>
      <c r="C274" s="16">
        <v>3.9003528190937389</v>
      </c>
      <c r="D274" s="26">
        <v>36</v>
      </c>
      <c r="E274" s="24">
        <v>0</v>
      </c>
      <c r="F274" s="13"/>
      <c r="G274" s="20">
        <v>255</v>
      </c>
      <c r="H274" s="14">
        <f t="shared" si="3"/>
        <v>333.85714285714283</v>
      </c>
    </row>
    <row r="275" spans="1:8">
      <c r="A275" s="15">
        <v>44151</v>
      </c>
      <c r="B275" s="27">
        <v>-27.034944335116222</v>
      </c>
      <c r="C275" s="16">
        <v>3.8960083016257343</v>
      </c>
      <c r="D275" s="26">
        <v>24</v>
      </c>
      <c r="E275" s="24">
        <v>0</v>
      </c>
      <c r="F275" s="13"/>
      <c r="G275" s="20">
        <v>180</v>
      </c>
      <c r="H275" s="14">
        <f t="shared" si="3"/>
        <v>353.71428571428572</v>
      </c>
    </row>
    <row r="276" spans="1:8">
      <c r="A276" s="15">
        <v>44152</v>
      </c>
      <c r="B276" s="27">
        <v>-27.007939492103894</v>
      </c>
      <c r="C276" s="16">
        <v>3.8930888965755792</v>
      </c>
      <c r="D276" s="26">
        <v>28</v>
      </c>
      <c r="E276" s="24">
        <v>0</v>
      </c>
      <c r="F276" s="13"/>
      <c r="G276" s="20">
        <v>298</v>
      </c>
      <c r="H276" s="14">
        <f t="shared" si="3"/>
        <v>374.85714285714283</v>
      </c>
    </row>
    <row r="277" spans="1:8">
      <c r="A277" s="15">
        <v>44153</v>
      </c>
      <c r="B277" s="27">
        <v>-30.231791227362109</v>
      </c>
      <c r="C277" s="16">
        <v>3.8915946039432723</v>
      </c>
      <c r="D277" s="26">
        <v>37</v>
      </c>
      <c r="E277" s="24">
        <v>0</v>
      </c>
      <c r="F277" s="13"/>
      <c r="G277" s="20">
        <v>486</v>
      </c>
      <c r="H277" s="14">
        <f t="shared" ref="H277:H340" si="4">SUM(G274:G280)/7</f>
        <v>401.57142857142856</v>
      </c>
    </row>
    <row r="278" spans="1:8">
      <c r="A278" s="15">
        <v>44154</v>
      </c>
      <c r="B278" s="27">
        <v>-30.268578632231176</v>
      </c>
      <c r="C278" s="16">
        <v>3.8915254237288126</v>
      </c>
      <c r="D278" s="26">
        <v>39</v>
      </c>
      <c r="E278" s="24">
        <v>0</v>
      </c>
      <c r="F278" s="13"/>
      <c r="G278" s="20">
        <v>531</v>
      </c>
      <c r="H278" s="14">
        <f t="shared" si="4"/>
        <v>420.85714285714283</v>
      </c>
    </row>
    <row r="279" spans="1:8">
      <c r="A279" s="15">
        <v>44155</v>
      </c>
      <c r="B279" s="27">
        <v>-30.615833468344576</v>
      </c>
      <c r="C279" s="16">
        <v>3.8928813559322029</v>
      </c>
      <c r="D279" s="26">
        <v>47</v>
      </c>
      <c r="E279" s="24">
        <v>0</v>
      </c>
      <c r="F279" s="13"/>
      <c r="G279" s="20">
        <v>522</v>
      </c>
      <c r="H279" s="14">
        <f t="shared" si="4"/>
        <v>440.14285714285717</v>
      </c>
    </row>
    <row r="280" spans="1:8">
      <c r="A280" s="15">
        <v>44156</v>
      </c>
      <c r="B280" s="27">
        <v>-28.638441221097587</v>
      </c>
      <c r="C280" s="16">
        <v>3.8948875821515041</v>
      </c>
      <c r="D280" s="26">
        <v>42</v>
      </c>
      <c r="E280" s="24">
        <v>0</v>
      </c>
      <c r="F280" s="13"/>
      <c r="G280" s="20">
        <v>539</v>
      </c>
      <c r="H280" s="14">
        <f t="shared" si="4"/>
        <v>424.42857142857144</v>
      </c>
    </row>
    <row r="281" spans="1:8">
      <c r="A281" s="15">
        <v>44157</v>
      </c>
      <c r="B281" s="27">
        <v>-26.886293569053123</v>
      </c>
      <c r="C281" s="16">
        <v>3.8975441023867168</v>
      </c>
      <c r="D281" s="26">
        <v>43</v>
      </c>
      <c r="E281" s="24">
        <v>0</v>
      </c>
      <c r="F281" s="13"/>
      <c r="G281" s="20">
        <v>390</v>
      </c>
      <c r="H281" s="14">
        <f t="shared" si="4"/>
        <v>412.42857142857144</v>
      </c>
    </row>
    <row r="282" spans="1:8">
      <c r="A282" s="15">
        <v>44158</v>
      </c>
      <c r="B282" s="27">
        <v>-43.363030278906869</v>
      </c>
      <c r="C282" s="16">
        <v>3.90085091663784</v>
      </c>
      <c r="D282" s="26">
        <v>29</v>
      </c>
      <c r="E282" s="24">
        <v>0</v>
      </c>
      <c r="F282" s="13"/>
      <c r="G282" s="20">
        <v>315</v>
      </c>
      <c r="H282" s="14">
        <f t="shared" si="4"/>
        <v>405.42857142857144</v>
      </c>
    </row>
    <row r="283" spans="1:8">
      <c r="A283" s="15">
        <v>44159</v>
      </c>
      <c r="B283" s="27">
        <v>-28.973976109215016</v>
      </c>
      <c r="C283" s="16">
        <v>3.9048080249048769</v>
      </c>
      <c r="D283" s="26">
        <v>11</v>
      </c>
      <c r="E283" s="24">
        <v>0</v>
      </c>
      <c r="F283" s="13"/>
      <c r="G283" s="20">
        <v>188</v>
      </c>
      <c r="H283" s="14">
        <f t="shared" si="4"/>
        <v>412.28571428571428</v>
      </c>
    </row>
    <row r="284" spans="1:8">
      <c r="A284" s="15">
        <v>44160</v>
      </c>
      <c r="B284" s="27">
        <v>-30.558499052296582</v>
      </c>
      <c r="C284" s="16">
        <v>3.9094154271878239</v>
      </c>
      <c r="D284" s="26">
        <v>23</v>
      </c>
      <c r="E284" s="24">
        <v>0</v>
      </c>
      <c r="F284" s="13"/>
      <c r="G284" s="20">
        <v>402</v>
      </c>
      <c r="H284" s="14">
        <f t="shared" si="4"/>
        <v>415.42857142857144</v>
      </c>
    </row>
    <row r="285" spans="1:8">
      <c r="A285" s="15">
        <v>44161</v>
      </c>
      <c r="B285" s="27">
        <v>-29.569891165054923</v>
      </c>
      <c r="C285" s="16">
        <v>3.9146731234866823</v>
      </c>
      <c r="D285" s="26">
        <v>33</v>
      </c>
      <c r="E285" s="24">
        <v>0</v>
      </c>
      <c r="F285" s="13"/>
      <c r="G285" s="20">
        <v>482</v>
      </c>
      <c r="H285" s="14">
        <f t="shared" si="4"/>
        <v>419.57142857142856</v>
      </c>
    </row>
    <row r="286" spans="1:8">
      <c r="A286" s="15">
        <v>44162</v>
      </c>
      <c r="B286" s="27">
        <v>-30.943341473047525</v>
      </c>
      <c r="C286" s="16">
        <v>3.920581113801453</v>
      </c>
      <c r="D286" s="26">
        <v>37</v>
      </c>
      <c r="E286" s="24">
        <v>0</v>
      </c>
      <c r="F286" s="13"/>
      <c r="G286" s="20">
        <v>570</v>
      </c>
      <c r="H286" s="14">
        <f t="shared" si="4"/>
        <v>419.14285714285717</v>
      </c>
    </row>
    <row r="287" spans="1:8">
      <c r="A287" s="15">
        <v>44163</v>
      </c>
      <c r="B287" s="27">
        <v>-29.874189046587286</v>
      </c>
      <c r="C287" s="16">
        <v>3.9237218955378759</v>
      </c>
      <c r="D287" s="26">
        <v>39</v>
      </c>
      <c r="E287" s="24">
        <v>0</v>
      </c>
      <c r="F287" s="13"/>
      <c r="G287" s="20">
        <v>561</v>
      </c>
      <c r="H287" s="14">
        <f t="shared" si="4"/>
        <v>445.14285714285717</v>
      </c>
    </row>
    <row r="288" spans="1:8">
      <c r="A288" s="15">
        <v>44164</v>
      </c>
      <c r="B288" s="27">
        <v>-32.868859796304776</v>
      </c>
      <c r="C288" s="16">
        <v>3.9240954686959526</v>
      </c>
      <c r="D288" s="26">
        <v>28</v>
      </c>
      <c r="E288" s="24">
        <v>0</v>
      </c>
      <c r="F288" s="13"/>
      <c r="G288" s="20">
        <v>419</v>
      </c>
      <c r="H288" s="14">
        <f t="shared" si="4"/>
        <v>459.28571428571428</v>
      </c>
    </row>
    <row r="289" spans="1:8">
      <c r="A289" s="15">
        <v>44165</v>
      </c>
      <c r="B289" s="27">
        <v>-29.139097756716321</v>
      </c>
      <c r="C289" s="16">
        <v>3.9217018332756832</v>
      </c>
      <c r="D289" s="26">
        <v>13</v>
      </c>
      <c r="E289" s="24">
        <v>0</v>
      </c>
      <c r="F289" s="13"/>
      <c r="G289" s="20">
        <v>312</v>
      </c>
      <c r="H289" s="14">
        <f t="shared" si="4"/>
        <v>466.42857142857144</v>
      </c>
    </row>
    <row r="290" spans="1:8">
      <c r="A290" s="15">
        <v>44166</v>
      </c>
      <c r="B290" s="27">
        <v>-28.832938045930469</v>
      </c>
      <c r="C290" s="16">
        <v>3.916540989277066</v>
      </c>
      <c r="D290" s="26">
        <v>25</v>
      </c>
      <c r="E290" s="24">
        <v>0</v>
      </c>
      <c r="F290" s="13"/>
      <c r="G290" s="20">
        <v>370</v>
      </c>
      <c r="H290" s="14">
        <f t="shared" si="4"/>
        <v>450.57142857142856</v>
      </c>
    </row>
    <row r="291" spans="1:8">
      <c r="A291" s="15">
        <v>44167</v>
      </c>
      <c r="B291" s="27">
        <v>-33.484766229094546</v>
      </c>
      <c r="C291" s="16">
        <v>3.908612936700103</v>
      </c>
      <c r="D291" s="26">
        <v>17</v>
      </c>
      <c r="E291" s="24">
        <v>0</v>
      </c>
      <c r="F291" s="13"/>
      <c r="G291" s="20">
        <v>501</v>
      </c>
      <c r="H291" s="14">
        <f t="shared" si="4"/>
        <v>453.85714285714283</v>
      </c>
    </row>
    <row r="292" spans="1:8">
      <c r="A292" s="15">
        <v>44168</v>
      </c>
      <c r="B292" s="27">
        <v>-32.097880198490913</v>
      </c>
      <c r="C292" s="16">
        <v>3.8979176755447931</v>
      </c>
      <c r="D292" s="26">
        <v>22</v>
      </c>
      <c r="E292" s="24">
        <v>0</v>
      </c>
      <c r="F292" s="13"/>
      <c r="G292" s="20">
        <v>532</v>
      </c>
      <c r="H292" s="14">
        <f t="shared" si="4"/>
        <v>440.85714285714283</v>
      </c>
    </row>
    <row r="293" spans="1:8">
      <c r="A293" s="15">
        <v>44169</v>
      </c>
      <c r="B293" s="27">
        <v>-31.320787372577037</v>
      </c>
      <c r="C293" s="16">
        <v>3.8844552058111375</v>
      </c>
      <c r="D293" s="26">
        <v>35</v>
      </c>
      <c r="E293" s="24">
        <v>0</v>
      </c>
      <c r="F293" s="13"/>
      <c r="G293" s="20">
        <v>459</v>
      </c>
      <c r="H293" s="14">
        <f t="shared" si="4"/>
        <v>439.28571428571428</v>
      </c>
    </row>
    <row r="294" spans="1:8">
      <c r="A294" s="15">
        <v>44170</v>
      </c>
      <c r="B294" s="27">
        <v>-30.551713695200156</v>
      </c>
      <c r="C294" s="16">
        <v>3.8755793842960906</v>
      </c>
      <c r="D294" s="26">
        <v>51</v>
      </c>
      <c r="E294" s="24">
        <v>0</v>
      </c>
      <c r="F294" s="13"/>
      <c r="G294" s="20">
        <v>584</v>
      </c>
      <c r="H294" s="14">
        <f t="shared" si="4"/>
        <v>437</v>
      </c>
    </row>
    <row r="295" spans="1:8">
      <c r="A295" s="15">
        <v>44171</v>
      </c>
      <c r="B295" s="27">
        <v>-30.660980701686658</v>
      </c>
      <c r="C295" s="16">
        <v>3.8712902109996534</v>
      </c>
      <c r="D295" s="26">
        <v>49</v>
      </c>
      <c r="E295" s="24">
        <v>0</v>
      </c>
      <c r="F295" s="13"/>
      <c r="G295" s="20">
        <v>328</v>
      </c>
      <c r="H295" s="14">
        <f t="shared" si="4"/>
        <v>447.42857142857144</v>
      </c>
    </row>
    <row r="296" spans="1:8">
      <c r="A296" s="15">
        <v>44172</v>
      </c>
      <c r="B296" s="27">
        <v>-29.717711646882293</v>
      </c>
      <c r="C296" s="16">
        <v>3.871587685921825</v>
      </c>
      <c r="D296" s="26">
        <v>29</v>
      </c>
      <c r="E296" s="24">
        <v>0</v>
      </c>
      <c r="F296" s="13"/>
      <c r="G296" s="20">
        <v>301</v>
      </c>
      <c r="H296" s="14">
        <f t="shared" si="4"/>
        <v>457.28571428571428</v>
      </c>
    </row>
    <row r="297" spans="1:8">
      <c r="A297" s="15">
        <v>44173</v>
      </c>
      <c r="B297" s="27">
        <v>-29.340761844160351</v>
      </c>
      <c r="C297" s="16">
        <v>3.8764718090626071</v>
      </c>
      <c r="D297" s="26">
        <v>30</v>
      </c>
      <c r="E297" s="24">
        <v>0</v>
      </c>
      <c r="F297" s="13"/>
      <c r="G297" s="20">
        <v>354</v>
      </c>
      <c r="H297" s="14">
        <f t="shared" si="4"/>
        <v>476.85714285714283</v>
      </c>
    </row>
    <row r="298" spans="1:8">
      <c r="A298" s="15">
        <v>44174</v>
      </c>
      <c r="B298" s="27">
        <v>-31.600119651256286</v>
      </c>
      <c r="C298" s="16">
        <v>3.8859425804219989</v>
      </c>
      <c r="D298" s="26">
        <v>37</v>
      </c>
      <c r="E298" s="24">
        <v>0</v>
      </c>
      <c r="F298" s="13"/>
      <c r="G298" s="20">
        <v>574</v>
      </c>
      <c r="H298" s="14">
        <f t="shared" si="4"/>
        <v>482.14285714285717</v>
      </c>
    </row>
    <row r="299" spans="1:8">
      <c r="A299" s="15">
        <v>44175</v>
      </c>
      <c r="B299" s="27">
        <v>-30.582887196835433</v>
      </c>
      <c r="C299" s="16">
        <v>3.8999999999999995</v>
      </c>
      <c r="D299" s="26">
        <v>37</v>
      </c>
      <c r="E299" s="24">
        <v>0</v>
      </c>
      <c r="F299" s="13"/>
      <c r="G299" s="20">
        <v>601</v>
      </c>
      <c r="H299" s="14">
        <f t="shared" si="4"/>
        <v>504</v>
      </c>
    </row>
    <row r="300" spans="1:8">
      <c r="A300" s="15">
        <v>44176</v>
      </c>
      <c r="B300" s="27">
        <v>-31.570509379540361</v>
      </c>
      <c r="C300" s="16">
        <v>3.9186440677966097</v>
      </c>
      <c r="D300" s="26">
        <v>59</v>
      </c>
      <c r="E300" s="24">
        <v>0</v>
      </c>
      <c r="F300" s="13"/>
      <c r="G300" s="20">
        <v>596</v>
      </c>
      <c r="H300" s="14">
        <f t="shared" si="4"/>
        <v>504.57142857142856</v>
      </c>
    </row>
    <row r="301" spans="1:8">
      <c r="A301" s="15">
        <v>44177</v>
      </c>
      <c r="B301" s="27">
        <v>-26.945195471773513</v>
      </c>
      <c r="C301" s="16">
        <v>3.9339204427533714</v>
      </c>
      <c r="D301" s="26">
        <v>68</v>
      </c>
      <c r="E301" s="24">
        <v>0</v>
      </c>
      <c r="F301" s="13"/>
      <c r="G301" s="20">
        <v>621</v>
      </c>
      <c r="H301" s="14">
        <f t="shared" si="4"/>
        <v>519.28571428571433</v>
      </c>
    </row>
    <row r="302" spans="1:8">
      <c r="A302" s="15">
        <v>44178</v>
      </c>
      <c r="B302" s="27">
        <v>-29.733631603263095</v>
      </c>
      <c r="C302" s="16">
        <v>3.9458291248702864</v>
      </c>
      <c r="D302" s="26">
        <v>45</v>
      </c>
      <c r="E302" s="24">
        <v>0</v>
      </c>
      <c r="F302" s="13"/>
      <c r="G302" s="20">
        <v>481</v>
      </c>
      <c r="H302" s="14">
        <f t="shared" si="4"/>
        <v>534.57142857142856</v>
      </c>
    </row>
    <row r="303" spans="1:8">
      <c r="A303" s="15">
        <v>44179</v>
      </c>
      <c r="B303" s="27">
        <v>-29.568393111262942</v>
      </c>
      <c r="C303" s="16">
        <v>3.9543701141473528</v>
      </c>
      <c r="D303" s="26">
        <v>43</v>
      </c>
      <c r="E303" s="24">
        <v>0</v>
      </c>
      <c r="F303" s="13"/>
      <c r="G303" s="20">
        <v>305</v>
      </c>
      <c r="H303" s="14">
        <f t="shared" si="4"/>
        <v>566.14285714285711</v>
      </c>
    </row>
    <row r="304" spans="1:8">
      <c r="A304" s="15">
        <v>44180</v>
      </c>
      <c r="B304" s="27">
        <v>-27.69440186267137</v>
      </c>
      <c r="C304" s="16">
        <v>3.9595434105845726</v>
      </c>
      <c r="D304" s="26">
        <v>36</v>
      </c>
      <c r="E304" s="24">
        <v>0</v>
      </c>
      <c r="F304" s="13"/>
      <c r="G304" s="20">
        <v>457</v>
      </c>
      <c r="H304" s="14">
        <f t="shared" si="4"/>
        <v>575.85714285714289</v>
      </c>
    </row>
    <row r="305" spans="1:8">
      <c r="A305" s="15">
        <v>44181</v>
      </c>
      <c r="B305" s="27">
        <v>-29.929354917454216</v>
      </c>
      <c r="C305" s="16">
        <v>3.9613490141819439</v>
      </c>
      <c r="D305" s="26">
        <v>108</v>
      </c>
      <c r="E305" s="24">
        <v>0</v>
      </c>
      <c r="F305" s="13"/>
      <c r="G305" s="20">
        <v>681</v>
      </c>
      <c r="H305" s="14">
        <f t="shared" si="4"/>
        <v>592.28571428571433</v>
      </c>
    </row>
    <row r="306" spans="1:8">
      <c r="A306" s="15">
        <v>44182</v>
      </c>
      <c r="B306" s="27">
        <v>-30.213071524227971</v>
      </c>
      <c r="C306" s="16">
        <v>3.959786924939467</v>
      </c>
      <c r="D306" s="26">
        <v>338</v>
      </c>
      <c r="E306" s="24">
        <v>0</v>
      </c>
      <c r="F306" s="13"/>
      <c r="G306" s="20">
        <v>822</v>
      </c>
      <c r="H306" s="14">
        <f t="shared" si="4"/>
        <v>603</v>
      </c>
    </row>
    <row r="307" spans="1:8">
      <c r="A307" s="15">
        <v>44183</v>
      </c>
      <c r="B307" s="27">
        <v>-30.596801762498625</v>
      </c>
      <c r="C307" s="16">
        <v>3.9548571428571426</v>
      </c>
      <c r="D307" s="26">
        <v>193</v>
      </c>
      <c r="E307" s="24">
        <v>0</v>
      </c>
      <c r="F307" s="13"/>
      <c r="G307" s="20">
        <v>664</v>
      </c>
      <c r="H307" s="14">
        <f t="shared" si="4"/>
        <v>616.14285714285711</v>
      </c>
    </row>
    <row r="308" spans="1:8">
      <c r="A308" s="15">
        <v>44184</v>
      </c>
      <c r="B308" s="27">
        <v>-26.556538828980148</v>
      </c>
      <c r="C308" s="16">
        <v>3.9507478381182972</v>
      </c>
      <c r="D308" s="26">
        <v>99</v>
      </c>
      <c r="E308" s="24">
        <v>0</v>
      </c>
      <c r="F308" s="13"/>
      <c r="G308" s="20">
        <v>736</v>
      </c>
      <c r="H308" s="14">
        <f t="shared" si="4"/>
        <v>632.28571428571433</v>
      </c>
    </row>
    <row r="309" spans="1:8">
      <c r="A309" s="15">
        <v>44185</v>
      </c>
      <c r="B309" s="27">
        <v>-29.006439558975693</v>
      </c>
      <c r="C309" s="16">
        <v>3.9474590107229326</v>
      </c>
      <c r="D309" s="26">
        <v>60</v>
      </c>
      <c r="E309" s="24">
        <v>0</v>
      </c>
      <c r="F309" s="13"/>
      <c r="G309" s="20">
        <v>556</v>
      </c>
      <c r="H309" s="14">
        <f t="shared" si="4"/>
        <v>643.28571428571433</v>
      </c>
    </row>
    <row r="310" spans="1:8">
      <c r="A310" s="15">
        <v>44186</v>
      </c>
      <c r="B310" s="27">
        <v>-28.116179972473386</v>
      </c>
      <c r="C310" s="16">
        <v>3.9449906606710479</v>
      </c>
      <c r="D310" s="26">
        <v>64</v>
      </c>
      <c r="E310" s="24">
        <v>0</v>
      </c>
      <c r="F310" s="13"/>
      <c r="G310" s="20">
        <v>397</v>
      </c>
      <c r="H310" s="14">
        <f t="shared" si="4"/>
        <v>653.71428571428567</v>
      </c>
    </row>
    <row r="311" spans="1:8">
      <c r="A311" s="15">
        <v>44187</v>
      </c>
      <c r="B311" s="27">
        <v>-27.287593278185916</v>
      </c>
      <c r="C311" s="16">
        <v>3.9433427879626421</v>
      </c>
      <c r="D311" s="26">
        <v>48</v>
      </c>
      <c r="E311" s="24">
        <v>0</v>
      </c>
      <c r="F311" s="13"/>
      <c r="G311" s="20">
        <v>570</v>
      </c>
      <c r="H311" s="14">
        <f t="shared" si="4"/>
        <v>686</v>
      </c>
    </row>
    <row r="312" spans="1:8">
      <c r="A312" s="15">
        <v>44188</v>
      </c>
      <c r="B312" s="27">
        <v>-27.89242808823688</v>
      </c>
      <c r="C312" s="16">
        <v>3.9425153925977163</v>
      </c>
      <c r="D312" s="26">
        <v>45</v>
      </c>
      <c r="E312" s="24">
        <v>0</v>
      </c>
      <c r="F312" s="13"/>
      <c r="G312" s="20">
        <v>758</v>
      </c>
      <c r="H312" s="14">
        <f t="shared" si="4"/>
        <v>717.14285714285711</v>
      </c>
    </row>
    <row r="313" spans="1:8">
      <c r="A313" s="15">
        <v>44189</v>
      </c>
      <c r="B313" s="27">
        <v>-28.321241913323409</v>
      </c>
      <c r="C313" s="16">
        <v>3.9425084745762704</v>
      </c>
      <c r="D313" s="26">
        <v>47</v>
      </c>
      <c r="E313" s="24">
        <v>0</v>
      </c>
      <c r="F313" s="13"/>
      <c r="G313" s="20">
        <v>895</v>
      </c>
      <c r="H313" s="14">
        <f t="shared" si="4"/>
        <v>738.71428571428567</v>
      </c>
    </row>
    <row r="314" spans="1:8">
      <c r="A314" s="15">
        <v>44190</v>
      </c>
      <c r="B314" s="27">
        <v>-28.616593435265198</v>
      </c>
      <c r="C314" s="16">
        <v>3.9433220338983044</v>
      </c>
      <c r="D314" s="26">
        <v>32</v>
      </c>
      <c r="E314" s="24">
        <v>0</v>
      </c>
      <c r="F314" s="13"/>
      <c r="G314" s="20">
        <v>890</v>
      </c>
      <c r="H314" s="14">
        <f t="shared" si="4"/>
        <v>752.14285714285711</v>
      </c>
    </row>
    <row r="315" spans="1:8">
      <c r="A315" s="15">
        <v>44191</v>
      </c>
      <c r="B315" s="27">
        <v>-31.047925083202728</v>
      </c>
      <c r="C315" s="16">
        <v>3.9451746800415073</v>
      </c>
      <c r="D315" s="26">
        <v>80</v>
      </c>
      <c r="E315" s="24">
        <v>0</v>
      </c>
      <c r="F315" s="13"/>
      <c r="G315" s="20">
        <v>954</v>
      </c>
      <c r="H315" s="14">
        <f t="shared" si="4"/>
        <v>794.85714285714289</v>
      </c>
    </row>
    <row r="316" spans="1:8">
      <c r="A316" s="15">
        <v>44192</v>
      </c>
      <c r="B316" s="27">
        <v>-33.81143915806765</v>
      </c>
      <c r="C316" s="16">
        <v>3.9480664130058796</v>
      </c>
      <c r="D316" s="26">
        <v>94</v>
      </c>
      <c r="E316" s="24">
        <v>0</v>
      </c>
      <c r="F316" s="13"/>
      <c r="G316" s="20">
        <v>707</v>
      </c>
      <c r="H316" s="14">
        <f t="shared" si="4"/>
        <v>823.71428571428567</v>
      </c>
    </row>
    <row r="317" spans="1:8">
      <c r="A317" s="15">
        <v>44193</v>
      </c>
      <c r="B317" s="27">
        <v>-31.820148763475274</v>
      </c>
      <c r="C317" s="16">
        <v>3.9519972327914208</v>
      </c>
      <c r="D317" s="26">
        <v>105</v>
      </c>
      <c r="E317" s="24">
        <v>0</v>
      </c>
      <c r="F317" s="13"/>
      <c r="G317" s="20">
        <v>491</v>
      </c>
      <c r="H317" s="14">
        <f t="shared" si="4"/>
        <v>889.14285714285711</v>
      </c>
    </row>
    <row r="318" spans="1:8">
      <c r="A318" s="15">
        <v>44194</v>
      </c>
      <c r="B318" s="27">
        <v>-39.430279979175104</v>
      </c>
      <c r="C318" s="16">
        <v>3.9569671393981309</v>
      </c>
      <c r="D318" s="26">
        <v>116</v>
      </c>
      <c r="E318" s="24">
        <v>0</v>
      </c>
      <c r="F318" s="13"/>
      <c r="G318" s="20">
        <v>869</v>
      </c>
      <c r="H318" s="14">
        <f t="shared" si="4"/>
        <v>875.28571428571433</v>
      </c>
    </row>
    <row r="319" spans="1:8">
      <c r="A319" s="15">
        <v>44195</v>
      </c>
      <c r="B319" s="27">
        <v>-48.241325022748015</v>
      </c>
      <c r="C319" s="16">
        <v>3.9629761328260105</v>
      </c>
      <c r="D319" s="26">
        <v>91</v>
      </c>
      <c r="E319" s="24">
        <v>0</v>
      </c>
      <c r="F319" s="13"/>
      <c r="G319" s="20">
        <v>960</v>
      </c>
      <c r="H319" s="14">
        <f t="shared" si="4"/>
        <v>857.42857142857144</v>
      </c>
    </row>
    <row r="320" spans="1:8">
      <c r="A320" s="15">
        <v>44196</v>
      </c>
      <c r="B320" s="27">
        <v>-64.583197925417494</v>
      </c>
      <c r="C320" s="16">
        <v>3.9700242130750594</v>
      </c>
      <c r="D320" s="26">
        <v>80</v>
      </c>
      <c r="E320" s="24">
        <v>0</v>
      </c>
      <c r="F320" s="13"/>
      <c r="G320" s="20">
        <v>1353</v>
      </c>
      <c r="H320" s="14">
        <f t="shared" si="4"/>
        <v>874.42857142857144</v>
      </c>
    </row>
    <row r="321" spans="1:8">
      <c r="A321" s="15">
        <v>44197</v>
      </c>
      <c r="B321" s="27">
        <v>-81.109421572780178</v>
      </c>
      <c r="C321" s="16">
        <v>3.9781113801452777</v>
      </c>
      <c r="D321" s="26">
        <v>27</v>
      </c>
      <c r="E321" s="22">
        <v>0</v>
      </c>
      <c r="F321" s="13"/>
      <c r="G321" s="25">
        <v>793</v>
      </c>
      <c r="H321" s="14">
        <f t="shared" si="4"/>
        <v>933.57142857142856</v>
      </c>
    </row>
    <row r="322" spans="1:8">
      <c r="A322" s="15">
        <v>44198</v>
      </c>
      <c r="B322" s="27">
        <v>-55.82743005038995</v>
      </c>
      <c r="C322" s="16">
        <v>3.9847734347976469</v>
      </c>
      <c r="D322" s="26">
        <v>31</v>
      </c>
      <c r="E322" s="22">
        <v>0</v>
      </c>
      <c r="F322" s="13"/>
      <c r="G322" s="25">
        <v>829</v>
      </c>
      <c r="H322" s="14">
        <f t="shared" si="4"/>
        <v>997.28571428571433</v>
      </c>
    </row>
    <row r="323" spans="1:8">
      <c r="A323" s="15">
        <v>44199</v>
      </c>
      <c r="B323" s="27">
        <v>-51.595932204540318</v>
      </c>
      <c r="C323" s="16">
        <v>3.990010377032168</v>
      </c>
      <c r="D323" s="26">
        <v>24</v>
      </c>
      <c r="E323" s="22">
        <v>0</v>
      </c>
      <c r="F323" s="13"/>
      <c r="G323" s="25">
        <v>826</v>
      </c>
      <c r="H323" s="14">
        <f t="shared" si="4"/>
        <v>1094.4285714285713</v>
      </c>
    </row>
    <row r="324" spans="1:8">
      <c r="A324" s="15">
        <v>44200</v>
      </c>
      <c r="B324" s="27">
        <v>-43.467943987107994</v>
      </c>
      <c r="C324" s="16">
        <v>3.9938222068488405</v>
      </c>
      <c r="D324" s="26">
        <v>33</v>
      </c>
      <c r="E324" s="22">
        <v>0</v>
      </c>
      <c r="F324" s="13"/>
      <c r="G324" s="25">
        <v>905</v>
      </c>
      <c r="H324" s="14">
        <f t="shared" si="4"/>
        <v>1261.1428571428571</v>
      </c>
    </row>
    <row r="325" spans="1:8">
      <c r="A325" s="15">
        <v>44201</v>
      </c>
      <c r="B325" s="27">
        <v>-38.490881876554639</v>
      </c>
      <c r="C325" s="16">
        <v>3.9962089242476644</v>
      </c>
      <c r="D325" s="26">
        <v>17</v>
      </c>
      <c r="E325" s="22">
        <v>0</v>
      </c>
      <c r="F325" s="13"/>
      <c r="G325" s="25">
        <v>1315</v>
      </c>
      <c r="H325" s="14">
        <f t="shared" si="4"/>
        <v>1499.1428571428571</v>
      </c>
    </row>
    <row r="326" spans="1:8">
      <c r="A326" s="15">
        <v>44202</v>
      </c>
      <c r="B326" s="27">
        <v>-40.544921629471823</v>
      </c>
      <c r="C326" s="16">
        <v>3.9971705292286397</v>
      </c>
      <c r="D326" s="26">
        <v>15</v>
      </c>
      <c r="E326" s="22">
        <v>0</v>
      </c>
      <c r="F326" s="13"/>
      <c r="G326" s="25">
        <v>1640</v>
      </c>
      <c r="H326" s="14">
        <f t="shared" si="4"/>
        <v>1713.8571428571429</v>
      </c>
    </row>
    <row r="327" spans="1:8">
      <c r="A327" s="15">
        <v>44203</v>
      </c>
      <c r="B327" s="27">
        <v>-41.313346140170566</v>
      </c>
      <c r="C327" s="16">
        <v>3.9967070217917668</v>
      </c>
      <c r="D327" s="26">
        <v>13</v>
      </c>
      <c r="E327" s="22">
        <v>0</v>
      </c>
      <c r="F327" s="13"/>
      <c r="G327" s="25">
        <v>2520</v>
      </c>
      <c r="H327" s="14">
        <f t="shared" si="4"/>
        <v>1811.5714285714287</v>
      </c>
    </row>
    <row r="328" spans="1:8">
      <c r="A328" s="15">
        <v>44204</v>
      </c>
      <c r="B328" s="27">
        <v>-47.041561992284514</v>
      </c>
      <c r="C328" s="16">
        <v>3.9948184019370454</v>
      </c>
      <c r="D328" s="26">
        <v>15</v>
      </c>
      <c r="E328" s="22">
        <v>0</v>
      </c>
      <c r="F328" s="13"/>
      <c r="G328" s="25">
        <v>2459</v>
      </c>
      <c r="H328" s="14">
        <f t="shared" si="4"/>
        <v>1861.1428571428571</v>
      </c>
    </row>
    <row r="329" spans="1:8">
      <c r="A329" s="15">
        <v>44205</v>
      </c>
      <c r="B329" s="27">
        <v>-52.261732677285814</v>
      </c>
      <c r="C329" s="16">
        <v>3.9917122103078513</v>
      </c>
      <c r="D329" s="26">
        <v>24</v>
      </c>
      <c r="E329" s="22">
        <v>0</v>
      </c>
      <c r="F329" s="13"/>
      <c r="G329" s="25">
        <v>2332</v>
      </c>
      <c r="H329" s="14">
        <f t="shared" si="4"/>
        <v>1819.7142857142858</v>
      </c>
    </row>
    <row r="330" spans="1:8">
      <c r="A330" s="15">
        <v>44206</v>
      </c>
      <c r="B330" s="27">
        <v>-52.116136909461389</v>
      </c>
      <c r="C330" s="16">
        <v>3.9873884469041845</v>
      </c>
      <c r="D330" s="26">
        <v>19</v>
      </c>
      <c r="E330" s="22">
        <v>0</v>
      </c>
      <c r="F330" s="13"/>
      <c r="G330" s="25">
        <v>1510</v>
      </c>
      <c r="H330" s="14">
        <f t="shared" si="4"/>
        <v>1796.8571428571429</v>
      </c>
    </row>
    <row r="331" spans="1:8">
      <c r="A331" s="15">
        <v>44207</v>
      </c>
      <c r="B331" s="27">
        <v>-60.772936134099652</v>
      </c>
      <c r="C331" s="16">
        <v>3.981847111726045</v>
      </c>
      <c r="D331" s="26">
        <v>12</v>
      </c>
      <c r="E331" s="22">
        <v>0</v>
      </c>
      <c r="F331" s="13"/>
      <c r="G331" s="25">
        <v>1252</v>
      </c>
      <c r="H331" s="14">
        <f t="shared" si="4"/>
        <v>1658.5714285714287</v>
      </c>
    </row>
    <row r="332" spans="1:8">
      <c r="A332" s="15">
        <v>44208</v>
      </c>
      <c r="B332" s="27">
        <v>-46.013261410308324</v>
      </c>
      <c r="C332" s="16">
        <v>3.9750882047734342</v>
      </c>
      <c r="D332" s="26">
        <v>9</v>
      </c>
      <c r="E332" s="22">
        <v>0</v>
      </c>
      <c r="F332" s="13"/>
      <c r="G332" s="25">
        <v>1025</v>
      </c>
      <c r="H332" s="14">
        <f t="shared" si="4"/>
        <v>1599.2857142857142</v>
      </c>
    </row>
    <row r="333" spans="1:8">
      <c r="A333" s="15">
        <v>44209</v>
      </c>
      <c r="B333" s="27">
        <v>-47.563219983849173</v>
      </c>
      <c r="C333" s="16">
        <v>3.9671117260463498</v>
      </c>
      <c r="D333" s="26">
        <v>9</v>
      </c>
      <c r="E333" s="22">
        <v>0</v>
      </c>
      <c r="F333" s="13"/>
      <c r="G333" s="25">
        <v>1480</v>
      </c>
      <c r="H333" s="14">
        <f t="shared" si="4"/>
        <v>1528.8571428571429</v>
      </c>
    </row>
    <row r="334" spans="1:8">
      <c r="A334" s="15">
        <v>44210</v>
      </c>
      <c r="B334" s="27">
        <v>-47.482803049867073</v>
      </c>
      <c r="C334" s="16">
        <v>3.9579176755447927</v>
      </c>
      <c r="D334" s="26">
        <v>4</v>
      </c>
      <c r="E334" s="22">
        <v>0</v>
      </c>
      <c r="F334" s="13"/>
      <c r="G334" s="25">
        <v>1552</v>
      </c>
      <c r="H334" s="14">
        <f t="shared" si="4"/>
        <v>1541</v>
      </c>
    </row>
    <row r="335" spans="1:8">
      <c r="A335" s="15">
        <v>44211</v>
      </c>
      <c r="B335" s="27">
        <v>-48.999875724587469</v>
      </c>
      <c r="C335" s="16">
        <v>3.9475060532687642</v>
      </c>
      <c r="D335" s="26">
        <v>10</v>
      </c>
      <c r="E335" s="22">
        <v>0</v>
      </c>
      <c r="F335" s="13"/>
      <c r="G335" s="25">
        <v>2044</v>
      </c>
      <c r="H335" s="14">
        <f t="shared" si="4"/>
        <v>1536</v>
      </c>
    </row>
    <row r="336" spans="1:8">
      <c r="A336" s="15">
        <v>44212</v>
      </c>
      <c r="B336" s="27">
        <v>-50.533519928067882</v>
      </c>
      <c r="C336" s="16">
        <v>3.9383327568315454</v>
      </c>
      <c r="D336" s="26">
        <v>23</v>
      </c>
      <c r="E336" s="22">
        <v>0</v>
      </c>
      <c r="F336" s="13"/>
      <c r="G336" s="25">
        <v>1839</v>
      </c>
      <c r="H336" s="14">
        <f t="shared" si="4"/>
        <v>1568.5714285714287</v>
      </c>
    </row>
    <row r="337" spans="1:8">
      <c r="A337" s="15">
        <v>44213</v>
      </c>
      <c r="B337" s="27">
        <v>-53.225103716396369</v>
      </c>
      <c r="C337" s="16">
        <v>3.9303977862331365</v>
      </c>
      <c r="D337" s="26">
        <v>7</v>
      </c>
      <c r="E337" s="22">
        <v>0</v>
      </c>
      <c r="F337" s="13"/>
      <c r="G337" s="25">
        <v>1595</v>
      </c>
      <c r="H337" s="14">
        <f t="shared" si="4"/>
        <v>1540.8571428571429</v>
      </c>
    </row>
    <row r="338" spans="1:8">
      <c r="A338" s="15">
        <v>44214</v>
      </c>
      <c r="B338" s="27">
        <v>-44.938707826825549</v>
      </c>
      <c r="C338" s="16">
        <v>3.9237011414735377</v>
      </c>
      <c r="D338" s="26">
        <v>6</v>
      </c>
      <c r="E338" s="22">
        <v>0</v>
      </c>
      <c r="F338" s="13"/>
      <c r="G338" s="25">
        <v>1217</v>
      </c>
      <c r="H338" s="14">
        <f t="shared" si="4"/>
        <v>1531.2857142857142</v>
      </c>
    </row>
    <row r="339" spans="1:8">
      <c r="A339" s="15">
        <v>44215</v>
      </c>
      <c r="B339" s="27">
        <v>-45.369605773124313</v>
      </c>
      <c r="C339" s="16">
        <v>3.9182428225527488</v>
      </c>
      <c r="D339" s="26">
        <v>2</v>
      </c>
      <c r="E339" s="22">
        <v>0</v>
      </c>
      <c r="F339" s="13"/>
      <c r="G339" s="25">
        <v>1253</v>
      </c>
      <c r="H339" s="14">
        <f t="shared" si="4"/>
        <v>1408.4285714285713</v>
      </c>
    </row>
    <row r="340" spans="1:8">
      <c r="A340" s="15">
        <v>44216</v>
      </c>
      <c r="B340" s="27">
        <v>-46.605417945390137</v>
      </c>
      <c r="C340" s="16">
        <v>3.9140228294707704</v>
      </c>
      <c r="D340" s="26">
        <v>7</v>
      </c>
      <c r="E340" s="22">
        <v>0</v>
      </c>
      <c r="F340" s="13"/>
      <c r="G340" s="25">
        <v>1286</v>
      </c>
      <c r="H340" s="14">
        <f t="shared" si="4"/>
        <v>1299.8571428571429</v>
      </c>
    </row>
    <row r="341" spans="1:8">
      <c r="A341" s="15">
        <v>44217</v>
      </c>
      <c r="B341" s="27">
        <v>-46.634103886922603</v>
      </c>
      <c r="C341" s="16">
        <v>3.911041162227602</v>
      </c>
      <c r="D341" s="26">
        <v>5</v>
      </c>
      <c r="E341" s="22">
        <v>0</v>
      </c>
      <c r="F341" s="13"/>
      <c r="G341" s="25">
        <v>1485</v>
      </c>
      <c r="H341" s="14">
        <f t="shared" ref="H341:H404" si="5">SUM(G338:G344)/7</f>
        <v>1212.8571428571429</v>
      </c>
    </row>
    <row r="342" spans="1:8">
      <c r="A342" s="15">
        <v>44218</v>
      </c>
      <c r="B342" s="27">
        <v>-49.13514723383102</v>
      </c>
      <c r="C342" s="16">
        <v>3.9092978208232436</v>
      </c>
      <c r="D342" s="26">
        <v>8</v>
      </c>
      <c r="E342" s="22">
        <v>0</v>
      </c>
      <c r="F342" s="13"/>
      <c r="G342" s="25">
        <v>1184</v>
      </c>
      <c r="H342" s="14">
        <f t="shared" si="5"/>
        <v>1127.4285714285713</v>
      </c>
    </row>
    <row r="343" spans="1:8">
      <c r="A343" s="15">
        <v>44219</v>
      </c>
      <c r="B343" s="27">
        <v>-53.059690542050944</v>
      </c>
      <c r="C343" s="16">
        <v>3.9039640262884805</v>
      </c>
      <c r="D343" s="26">
        <v>15</v>
      </c>
      <c r="E343" s="22">
        <v>0</v>
      </c>
      <c r="F343" s="13"/>
      <c r="G343" s="25">
        <v>1079</v>
      </c>
      <c r="H343" s="14">
        <f t="shared" si="5"/>
        <v>1095</v>
      </c>
    </row>
    <row r="344" spans="1:8">
      <c r="A344" s="15">
        <v>44220</v>
      </c>
      <c r="B344" s="27">
        <v>-53.660799550643588</v>
      </c>
      <c r="C344" s="16">
        <v>3.8950397786233131</v>
      </c>
      <c r="D344" s="26">
        <v>8</v>
      </c>
      <c r="E344" s="22">
        <v>0</v>
      </c>
      <c r="F344" s="13"/>
      <c r="G344" s="25">
        <v>986</v>
      </c>
      <c r="H344" s="14">
        <f t="shared" si="5"/>
        <v>1050.7142857142858</v>
      </c>
    </row>
    <row r="345" spans="1:8">
      <c r="A345" s="15">
        <v>44221</v>
      </c>
      <c r="B345" s="27">
        <v>-42.573420424248688</v>
      </c>
      <c r="C345" s="16">
        <v>3.88252507782774</v>
      </c>
      <c r="D345" s="26">
        <v>6</v>
      </c>
      <c r="E345" s="22">
        <v>0</v>
      </c>
      <c r="F345" s="13"/>
      <c r="G345" s="25">
        <v>619</v>
      </c>
      <c r="H345" s="14">
        <f t="shared" si="5"/>
        <v>990.71428571428567</v>
      </c>
    </row>
    <row r="346" spans="1:8">
      <c r="A346" s="15">
        <v>44222</v>
      </c>
      <c r="B346" s="27">
        <v>-43.168095968068492</v>
      </c>
      <c r="C346" s="16">
        <v>3.8664199239017631</v>
      </c>
      <c r="D346" s="26">
        <v>10</v>
      </c>
      <c r="E346" s="22">
        <v>0</v>
      </c>
      <c r="F346" s="13"/>
      <c r="G346" s="25">
        <v>1026</v>
      </c>
      <c r="H346" s="14">
        <f t="shared" si="5"/>
        <v>946</v>
      </c>
    </row>
    <row r="347" spans="1:8">
      <c r="A347" s="15">
        <v>44223</v>
      </c>
      <c r="B347" s="27">
        <v>-45.853384030736031</v>
      </c>
      <c r="C347" s="16">
        <v>3.8467243168453815</v>
      </c>
      <c r="D347" s="26">
        <v>9</v>
      </c>
      <c r="E347" s="22">
        <v>0</v>
      </c>
      <c r="F347" s="13"/>
      <c r="G347" s="25">
        <v>976</v>
      </c>
      <c r="H347" s="14">
        <f t="shared" si="5"/>
        <v>901.85714285714289</v>
      </c>
    </row>
    <row r="348" spans="1:8">
      <c r="A348" s="15">
        <v>44224</v>
      </c>
      <c r="B348" s="27">
        <v>-45.846021127458151</v>
      </c>
      <c r="C348" s="16">
        <v>3.8234382566585947</v>
      </c>
      <c r="D348" s="26">
        <v>7</v>
      </c>
      <c r="E348" s="22">
        <v>0</v>
      </c>
      <c r="F348" s="13"/>
      <c r="G348" s="25">
        <v>1065</v>
      </c>
      <c r="H348" s="14">
        <f t="shared" si="5"/>
        <v>851.57142857142856</v>
      </c>
    </row>
    <row r="349" spans="1:8">
      <c r="A349" s="15">
        <v>44225</v>
      </c>
      <c r="B349" s="27">
        <v>-45.978193894368502</v>
      </c>
      <c r="C349" s="16">
        <v>3.7965617433414036</v>
      </c>
      <c r="D349" s="26">
        <v>15</v>
      </c>
      <c r="E349" s="22">
        <v>0</v>
      </c>
      <c r="F349" s="13"/>
      <c r="G349" s="25">
        <v>871</v>
      </c>
      <c r="H349" s="14">
        <f t="shared" si="5"/>
        <v>819.28571428571433</v>
      </c>
    </row>
    <row r="350" spans="1:8">
      <c r="A350" s="15">
        <v>44226</v>
      </c>
      <c r="B350" s="27">
        <v>-45.577845283513682</v>
      </c>
      <c r="C350" s="16">
        <v>3.7739190591490828</v>
      </c>
      <c r="D350" s="26">
        <v>9</v>
      </c>
      <c r="E350" s="22">
        <v>0</v>
      </c>
      <c r="F350" s="13"/>
      <c r="G350" s="25">
        <v>770</v>
      </c>
      <c r="H350" s="14">
        <f t="shared" si="5"/>
        <v>752.14285714285711</v>
      </c>
    </row>
    <row r="351" spans="1:8">
      <c r="A351" s="15">
        <v>44227</v>
      </c>
      <c r="B351" s="27">
        <v>-47.066731886698719</v>
      </c>
      <c r="C351" s="16">
        <v>3.7555102040816317</v>
      </c>
      <c r="D351" s="26">
        <v>8</v>
      </c>
      <c r="E351" s="22">
        <v>0</v>
      </c>
      <c r="F351" s="13"/>
      <c r="G351" s="25">
        <v>634</v>
      </c>
      <c r="H351" s="14">
        <f t="shared" si="5"/>
        <v>709.28571428571433</v>
      </c>
    </row>
    <row r="352" spans="1:8">
      <c r="A352" s="15">
        <v>44228</v>
      </c>
      <c r="B352" s="27">
        <v>-41.277719695257261</v>
      </c>
      <c r="C352" s="16">
        <v>3.7413351781390509</v>
      </c>
      <c r="D352" s="26">
        <v>3</v>
      </c>
      <c r="E352" s="22">
        <v>0</v>
      </c>
      <c r="F352" s="13"/>
      <c r="G352" s="25">
        <v>393</v>
      </c>
      <c r="H352" s="14">
        <f t="shared" si="5"/>
        <v>662</v>
      </c>
    </row>
    <row r="353" spans="1:8">
      <c r="A353" s="15">
        <v>44229</v>
      </c>
      <c r="B353" s="27">
        <v>-42.869099612425522</v>
      </c>
      <c r="C353" s="16">
        <v>3.7313939813213417</v>
      </c>
      <c r="D353" s="26">
        <v>5</v>
      </c>
      <c r="E353" s="22">
        <v>0</v>
      </c>
      <c r="F353" s="13"/>
      <c r="G353" s="25">
        <v>556</v>
      </c>
      <c r="H353" s="14">
        <f t="shared" si="5"/>
        <v>620</v>
      </c>
    </row>
    <row r="354" spans="1:8">
      <c r="A354" s="15">
        <v>44230</v>
      </c>
      <c r="B354" s="27">
        <v>-43.964837295533385</v>
      </c>
      <c r="C354" s="16">
        <v>3.725686613628501</v>
      </c>
      <c r="D354" s="26">
        <v>9</v>
      </c>
      <c r="E354" s="22">
        <v>0</v>
      </c>
      <c r="F354" s="13"/>
      <c r="G354" s="25">
        <v>676</v>
      </c>
      <c r="H354" s="14">
        <f t="shared" si="5"/>
        <v>601.28571428571433</v>
      </c>
    </row>
    <row r="355" spans="1:8">
      <c r="A355" s="15">
        <v>44231</v>
      </c>
      <c r="B355" s="27">
        <v>-43.580517804504453</v>
      </c>
      <c r="C355" s="16">
        <v>3.7242130750605318</v>
      </c>
      <c r="D355" s="26">
        <v>9</v>
      </c>
      <c r="E355" s="22">
        <v>0</v>
      </c>
      <c r="F355" s="13"/>
      <c r="G355" s="25">
        <v>734</v>
      </c>
      <c r="H355" s="14">
        <f t="shared" si="5"/>
        <v>572</v>
      </c>
    </row>
    <row r="356" spans="1:8">
      <c r="A356" s="15">
        <v>44232</v>
      </c>
      <c r="B356" s="27">
        <v>-44.600200792629884</v>
      </c>
      <c r="C356" s="16">
        <v>3.7269733656174329</v>
      </c>
      <c r="D356" s="26">
        <v>10</v>
      </c>
      <c r="E356" s="22">
        <v>0</v>
      </c>
      <c r="F356" s="13"/>
      <c r="G356" s="25">
        <v>577</v>
      </c>
      <c r="H356" s="14">
        <f t="shared" si="5"/>
        <v>555.28571428571433</v>
      </c>
    </row>
    <row r="357" spans="1:8">
      <c r="A357" s="15">
        <v>44233</v>
      </c>
      <c r="B357" s="27">
        <v>-44.104548207629051</v>
      </c>
      <c r="C357" s="16">
        <v>3.7261086129366991</v>
      </c>
      <c r="D357" s="26">
        <v>12</v>
      </c>
      <c r="E357" s="22">
        <v>0</v>
      </c>
      <c r="F357" s="13"/>
      <c r="G357" s="25">
        <v>639</v>
      </c>
      <c r="H357" s="14">
        <f t="shared" si="5"/>
        <v>534.71428571428567</v>
      </c>
    </row>
    <row r="358" spans="1:8">
      <c r="A358" s="15">
        <v>44234</v>
      </c>
      <c r="B358" s="27">
        <v>-45.729480826201488</v>
      </c>
      <c r="C358" s="16">
        <v>3.721618817018332</v>
      </c>
      <c r="D358" s="26">
        <v>8</v>
      </c>
      <c r="E358" s="22">
        <v>0</v>
      </c>
      <c r="F358" s="13"/>
      <c r="G358" s="25">
        <v>429</v>
      </c>
      <c r="H358" s="14">
        <f t="shared" si="5"/>
        <v>508.28571428571428</v>
      </c>
    </row>
    <row r="359" spans="1:8">
      <c r="A359" s="15">
        <v>44235</v>
      </c>
      <c r="B359" s="27">
        <v>-40.071412895147276</v>
      </c>
      <c r="C359" s="16">
        <v>3.7135039778623304</v>
      </c>
      <c r="D359" s="26">
        <v>6</v>
      </c>
      <c r="E359" s="22">
        <v>0</v>
      </c>
      <c r="F359" s="13"/>
      <c r="G359" s="25">
        <v>276</v>
      </c>
      <c r="H359" s="14">
        <f t="shared" si="5"/>
        <v>465.42857142857144</v>
      </c>
    </row>
    <row r="360" spans="1:8">
      <c r="A360" s="15">
        <v>44236</v>
      </c>
      <c r="B360" s="27">
        <v>-39.195963729970494</v>
      </c>
      <c r="C360" s="16">
        <v>3.7017640954686946</v>
      </c>
      <c r="D360" s="26">
        <v>7</v>
      </c>
      <c r="E360" s="22">
        <v>0</v>
      </c>
      <c r="F360" s="13"/>
      <c r="G360" s="25">
        <v>412</v>
      </c>
      <c r="H360" s="14">
        <f t="shared" si="5"/>
        <v>426.85714285714283</v>
      </c>
    </row>
    <row r="361" spans="1:8">
      <c r="A361" s="15">
        <v>44237</v>
      </c>
      <c r="B361" s="27">
        <v>-38.474530057154716</v>
      </c>
      <c r="C361" s="16">
        <v>3.6863991698374252</v>
      </c>
      <c r="D361" s="26">
        <v>9</v>
      </c>
      <c r="E361" s="22">
        <v>0</v>
      </c>
      <c r="F361" s="13"/>
      <c r="G361" s="25">
        <v>491</v>
      </c>
      <c r="H361" s="14">
        <f t="shared" si="5"/>
        <v>388.28571428571428</v>
      </c>
    </row>
    <row r="362" spans="1:8">
      <c r="A362" s="15">
        <v>44238</v>
      </c>
      <c r="B362" s="27">
        <v>-51.237440083083399</v>
      </c>
      <c r="C362" s="16">
        <v>3.667409200968522</v>
      </c>
      <c r="D362" s="26">
        <v>8</v>
      </c>
      <c r="E362" s="22">
        <v>0</v>
      </c>
      <c r="F362" s="13"/>
      <c r="G362" s="25">
        <v>434</v>
      </c>
      <c r="H362" s="14">
        <f t="shared" si="5"/>
        <v>380</v>
      </c>
    </row>
    <row r="363" spans="1:8">
      <c r="A363" s="15">
        <v>44239</v>
      </c>
      <c r="B363" s="27">
        <v>-43.153465820032281</v>
      </c>
      <c r="C363" s="16">
        <v>3.6447941888619853</v>
      </c>
      <c r="D363" s="26">
        <v>12</v>
      </c>
      <c r="E363" s="22">
        <v>0</v>
      </c>
      <c r="F363" s="13"/>
      <c r="G363" s="25">
        <v>307</v>
      </c>
      <c r="H363" s="14">
        <f t="shared" si="5"/>
        <v>378.57142857142856</v>
      </c>
    </row>
    <row r="364" spans="1:8">
      <c r="A364" s="15">
        <v>44240</v>
      </c>
      <c r="B364" s="27">
        <v>-42.713087960737056</v>
      </c>
      <c r="C364" s="16">
        <v>3.628744379107574</v>
      </c>
      <c r="D364" s="26">
        <v>11</v>
      </c>
      <c r="E364" s="22">
        <v>0</v>
      </c>
      <c r="F364" s="13"/>
      <c r="G364" s="25">
        <v>369</v>
      </c>
      <c r="H364" s="14">
        <f t="shared" si="5"/>
        <v>369.71428571428572</v>
      </c>
    </row>
    <row r="365" spans="1:8">
      <c r="A365" s="15">
        <v>44241</v>
      </c>
      <c r="B365" s="27">
        <v>-44.718556188005088</v>
      </c>
      <c r="C365" s="16">
        <v>3.6192597717052917</v>
      </c>
      <c r="D365" s="26">
        <v>10</v>
      </c>
      <c r="E365" s="22">
        <v>0</v>
      </c>
      <c r="F365" s="13"/>
      <c r="G365" s="25">
        <v>371</v>
      </c>
      <c r="H365" s="14">
        <f t="shared" si="5"/>
        <v>353.57142857142856</v>
      </c>
    </row>
    <row r="366" spans="1:8">
      <c r="A366" s="15">
        <v>44242</v>
      </c>
      <c r="B366" s="27">
        <v>-41.672652432533688</v>
      </c>
      <c r="C366" s="16">
        <v>3.6163403666551366</v>
      </c>
      <c r="D366" s="26">
        <v>13</v>
      </c>
      <c r="E366" s="22">
        <v>0</v>
      </c>
      <c r="F366" s="13"/>
      <c r="G366" s="25">
        <v>266</v>
      </c>
      <c r="H366" s="14">
        <f t="shared" si="5"/>
        <v>355.14285714285717</v>
      </c>
    </row>
    <row r="367" spans="1:8">
      <c r="A367" s="15">
        <v>44243</v>
      </c>
      <c r="B367" s="27">
        <v>-39.069062011916465</v>
      </c>
      <c r="C367" s="16">
        <v>3.6199861639571078</v>
      </c>
      <c r="D367" s="26">
        <v>3</v>
      </c>
      <c r="E367" s="22">
        <v>0</v>
      </c>
      <c r="F367" s="13"/>
      <c r="G367" s="25">
        <v>350</v>
      </c>
      <c r="H367" s="14">
        <f t="shared" si="5"/>
        <v>361.71428571428572</v>
      </c>
    </row>
    <row r="368" spans="1:8">
      <c r="A368" s="15">
        <v>44244</v>
      </c>
      <c r="B368" s="27">
        <v>-42.486991059933928</v>
      </c>
      <c r="C368" s="16">
        <v>3.6301971636112067</v>
      </c>
      <c r="D368" s="26">
        <v>9</v>
      </c>
      <c r="E368" s="22">
        <v>0</v>
      </c>
      <c r="F368" s="13"/>
      <c r="G368" s="25">
        <v>378</v>
      </c>
      <c r="H368" s="14">
        <f t="shared" si="5"/>
        <v>355.71428571428572</v>
      </c>
    </row>
    <row r="369" spans="1:8">
      <c r="A369" s="15">
        <v>44245</v>
      </c>
      <c r="B369" s="27">
        <v>-41.102891826482761</v>
      </c>
      <c r="C369" s="16">
        <v>3.6469733656174328</v>
      </c>
      <c r="D369" s="26">
        <v>13</v>
      </c>
      <c r="E369" s="22">
        <v>0</v>
      </c>
      <c r="F369" s="13"/>
      <c r="G369" s="25">
        <v>445</v>
      </c>
      <c r="H369" s="14">
        <f t="shared" si="5"/>
        <v>341.57142857142856</v>
      </c>
    </row>
    <row r="370" spans="1:8">
      <c r="A370" s="15">
        <v>44246</v>
      </c>
      <c r="B370" s="27">
        <v>-41.435374508184935</v>
      </c>
      <c r="C370" s="16">
        <v>3.6703147699757861</v>
      </c>
      <c r="D370" s="26">
        <v>11</v>
      </c>
      <c r="E370" s="22">
        <v>0</v>
      </c>
      <c r="F370" s="13"/>
      <c r="G370" s="25">
        <v>353</v>
      </c>
      <c r="H370" s="14">
        <f t="shared" si="5"/>
        <v>329</v>
      </c>
    </row>
    <row r="371" spans="1:8">
      <c r="A371" s="15">
        <v>44247</v>
      </c>
      <c r="B371" s="27">
        <v>-40.634424699190141</v>
      </c>
      <c r="C371" s="16">
        <v>3.6877758561051537</v>
      </c>
      <c r="D371" s="26">
        <v>24</v>
      </c>
      <c r="E371" s="22">
        <v>0</v>
      </c>
      <c r="F371" s="13"/>
      <c r="G371" s="25">
        <v>327</v>
      </c>
      <c r="H371" s="14">
        <f t="shared" si="5"/>
        <v>318.28571428571428</v>
      </c>
    </row>
    <row r="372" spans="1:8">
      <c r="A372" s="15">
        <v>44248</v>
      </c>
      <c r="B372" s="27">
        <v>-42.830470199380692</v>
      </c>
      <c r="C372" s="16">
        <v>3.6993566240055342</v>
      </c>
      <c r="D372" s="26">
        <v>8</v>
      </c>
      <c r="E372" s="22">
        <v>0</v>
      </c>
      <c r="F372" s="13"/>
      <c r="G372" s="25">
        <v>272</v>
      </c>
      <c r="H372" s="14">
        <f t="shared" si="5"/>
        <v>294.71428571428572</v>
      </c>
    </row>
    <row r="373" spans="1:8">
      <c r="A373" s="15">
        <v>44249</v>
      </c>
      <c r="B373" s="27">
        <v>-36.803750747231732</v>
      </c>
      <c r="C373" s="16">
        <v>3.7050570736769282</v>
      </c>
      <c r="D373" s="26">
        <v>9</v>
      </c>
      <c r="E373" s="22">
        <v>0</v>
      </c>
      <c r="F373" s="13"/>
      <c r="G373" s="25">
        <v>178</v>
      </c>
      <c r="H373" s="14">
        <f t="shared" si="5"/>
        <v>279.71428571428572</v>
      </c>
    </row>
    <row r="374" spans="1:8">
      <c r="A374" s="15">
        <v>44250</v>
      </c>
      <c r="B374" s="27">
        <v>-50.500231387748016</v>
      </c>
      <c r="C374" s="16">
        <v>3.7048772051193355</v>
      </c>
      <c r="D374" s="26">
        <v>9</v>
      </c>
      <c r="E374" s="22">
        <v>0</v>
      </c>
      <c r="F374" s="13"/>
      <c r="G374" s="25">
        <v>275</v>
      </c>
      <c r="H374" s="14">
        <f t="shared" si="5"/>
        <v>267.85714285714283</v>
      </c>
    </row>
    <row r="375" spans="1:8">
      <c r="A375" s="15">
        <v>44251</v>
      </c>
      <c r="B375" s="27">
        <v>-40.524619917476848</v>
      </c>
      <c r="C375" s="16">
        <v>3.6988170183327567</v>
      </c>
      <c r="D375" s="26">
        <v>5</v>
      </c>
      <c r="E375" s="22">
        <v>0</v>
      </c>
      <c r="F375" s="13"/>
      <c r="G375" s="25">
        <v>213</v>
      </c>
      <c r="H375" s="14">
        <f t="shared" si="5"/>
        <v>269.28571428571428</v>
      </c>
    </row>
    <row r="376" spans="1:8">
      <c r="A376" s="15">
        <v>44252</v>
      </c>
      <c r="B376" s="27">
        <v>-38.982082361147945</v>
      </c>
      <c r="C376" s="16">
        <v>3.6868765133171908</v>
      </c>
      <c r="D376" s="26">
        <v>14</v>
      </c>
      <c r="E376" s="22">
        <v>0</v>
      </c>
      <c r="F376" s="13"/>
      <c r="G376" s="25">
        <v>340</v>
      </c>
      <c r="H376" s="14">
        <f t="shared" si="5"/>
        <v>277.42857142857144</v>
      </c>
    </row>
    <row r="377" spans="1:8">
      <c r="A377" s="15">
        <v>44253</v>
      </c>
      <c r="B377" s="27">
        <v>-41.013293565201323</v>
      </c>
      <c r="C377" s="16">
        <v>3.6690556900726388</v>
      </c>
      <c r="D377" s="26">
        <v>11</v>
      </c>
      <c r="E377" s="22">
        <v>0</v>
      </c>
      <c r="F377" s="13"/>
      <c r="G377" s="25">
        <v>270</v>
      </c>
      <c r="H377" s="14">
        <f t="shared" si="5"/>
        <v>269.28571428571428</v>
      </c>
    </row>
    <row r="378" spans="1:8">
      <c r="A378" s="15">
        <v>44254</v>
      </c>
      <c r="B378" s="27">
        <v>-39.858672440384382</v>
      </c>
      <c r="C378" s="16">
        <v>3.653400207540642</v>
      </c>
      <c r="D378" s="26">
        <v>22</v>
      </c>
      <c r="E378" s="22">
        <v>0</v>
      </c>
      <c r="F378" s="13"/>
      <c r="G378" s="25">
        <v>337</v>
      </c>
      <c r="H378" s="14">
        <f t="shared" si="5"/>
        <v>263.14285714285717</v>
      </c>
    </row>
    <row r="379" spans="1:8">
      <c r="A379" s="15">
        <v>44255</v>
      </c>
      <c r="B379" s="27">
        <v>-40.058562271625597</v>
      </c>
      <c r="C379" s="16">
        <v>3.6399100657212031</v>
      </c>
      <c r="D379" s="26">
        <v>15</v>
      </c>
      <c r="E379" s="22">
        <v>0</v>
      </c>
      <c r="F379" s="13"/>
      <c r="G379" s="25">
        <v>329</v>
      </c>
      <c r="H379" s="14">
        <f t="shared" si="5"/>
        <v>277.85714285714283</v>
      </c>
    </row>
    <row r="380" spans="1:8">
      <c r="A380" s="15">
        <v>44256</v>
      </c>
      <c r="B380" s="27">
        <v>-36.361564846567809</v>
      </c>
      <c r="C380" s="16">
        <v>3.6285852646143191</v>
      </c>
      <c r="D380" s="26">
        <v>8</v>
      </c>
      <c r="E380" s="22">
        <v>0</v>
      </c>
      <c r="F380" s="13"/>
      <c r="G380" s="25">
        <v>121</v>
      </c>
      <c r="H380" s="14">
        <f t="shared" si="5"/>
        <v>269.14285714285717</v>
      </c>
    </row>
    <row r="381" spans="1:8">
      <c r="A381" s="15">
        <v>44257</v>
      </c>
      <c r="B381" s="27">
        <v>-40.188508705964018</v>
      </c>
      <c r="C381" s="16">
        <v>3.6194258042199925</v>
      </c>
      <c r="D381" s="26">
        <v>4</v>
      </c>
      <c r="E381" s="22">
        <v>0</v>
      </c>
      <c r="F381" s="13"/>
      <c r="G381" s="25">
        <v>232</v>
      </c>
      <c r="H381" s="14">
        <f t="shared" si="5"/>
        <v>273.57142857142856</v>
      </c>
    </row>
    <row r="382" spans="1:8">
      <c r="A382" s="15">
        <v>44258</v>
      </c>
      <c r="B382" s="27">
        <v>-39.101480353479616</v>
      </c>
      <c r="C382" s="16">
        <v>3.6124316845382216</v>
      </c>
      <c r="D382" s="26">
        <v>10</v>
      </c>
      <c r="E382" s="22">
        <v>2.9758015575588702E-6</v>
      </c>
      <c r="F382" s="13"/>
      <c r="G382" s="25">
        <v>316</v>
      </c>
      <c r="H382" s="14">
        <f t="shared" si="5"/>
        <v>267.28571428571428</v>
      </c>
    </row>
    <row r="383" spans="1:8">
      <c r="A383" s="15">
        <v>44259</v>
      </c>
      <c r="B383" s="27">
        <v>-38.317456863817121</v>
      </c>
      <c r="C383" s="16">
        <v>3.6076029055690064</v>
      </c>
      <c r="D383" s="26">
        <v>7</v>
      </c>
      <c r="E383" s="22">
        <v>1.2011417195964901E-5</v>
      </c>
      <c r="F383" s="13"/>
      <c r="G383" s="25">
        <v>279</v>
      </c>
      <c r="H383" s="14">
        <f t="shared" si="5"/>
        <v>254.14285714285714</v>
      </c>
    </row>
    <row r="384" spans="1:8">
      <c r="A384" s="15">
        <v>44260</v>
      </c>
      <c r="B384" s="27">
        <v>-40.458348542431594</v>
      </c>
      <c r="C384" s="16">
        <v>3.6049394673123483</v>
      </c>
      <c r="D384" s="26">
        <v>8</v>
      </c>
      <c r="E384" s="22">
        <v>2.8026640123918101E-5</v>
      </c>
      <c r="F384" s="13"/>
      <c r="G384" s="25">
        <v>301</v>
      </c>
      <c r="H384" s="14">
        <f t="shared" si="5"/>
        <v>253.42857142857142</v>
      </c>
    </row>
    <row r="385" spans="1:8">
      <c r="A385" s="15">
        <v>44261</v>
      </c>
      <c r="B385" s="27">
        <v>-37.305691191438079</v>
      </c>
      <c r="C385" s="16">
        <v>3.6010307851954333</v>
      </c>
      <c r="D385" s="26">
        <v>15</v>
      </c>
      <c r="E385" s="22">
        <v>3.06778087842888E-5</v>
      </c>
      <c r="F385" s="13"/>
      <c r="G385" s="25">
        <v>293</v>
      </c>
      <c r="H385" s="14">
        <f t="shared" si="5"/>
        <v>261.71428571428572</v>
      </c>
    </row>
    <row r="386" spans="1:8">
      <c r="A386" s="15">
        <v>44262</v>
      </c>
      <c r="B386" s="27">
        <v>-38.849601785886257</v>
      </c>
      <c r="C386" s="16">
        <v>3.5958768592182628</v>
      </c>
      <c r="D386" s="26">
        <v>12</v>
      </c>
      <c r="E386" s="22">
        <v>3.0840125232882898E-5</v>
      </c>
      <c r="F386" s="13"/>
      <c r="G386" s="25">
        <v>237</v>
      </c>
      <c r="H386" s="14">
        <f t="shared" si="5"/>
        <v>265.14285714285717</v>
      </c>
    </row>
    <row r="387" spans="1:8">
      <c r="A387" s="15">
        <v>44263</v>
      </c>
      <c r="B387" s="27">
        <v>-35.666570870068043</v>
      </c>
      <c r="C387" s="16">
        <v>3.589477689380836</v>
      </c>
      <c r="D387" s="26">
        <v>13</v>
      </c>
      <c r="E387" s="22">
        <v>4.3987757569006703E-5</v>
      </c>
      <c r="F387" s="13"/>
      <c r="G387" s="25">
        <v>116</v>
      </c>
      <c r="H387" s="14">
        <f t="shared" si="5"/>
        <v>273.14285714285717</v>
      </c>
    </row>
    <row r="388" spans="1:8">
      <c r="A388" s="15">
        <v>44264</v>
      </c>
      <c r="B388" s="27">
        <v>-34.617089431364612</v>
      </c>
      <c r="C388" s="16">
        <v>3.5818332756831532</v>
      </c>
      <c r="D388" s="26">
        <v>7</v>
      </c>
      <c r="E388" s="22">
        <v>4.9831149718395001E-5</v>
      </c>
      <c r="F388" s="13"/>
      <c r="G388" s="25">
        <v>290</v>
      </c>
      <c r="H388" s="14">
        <f t="shared" si="5"/>
        <v>273.57142857142856</v>
      </c>
    </row>
    <row r="389" spans="1:8">
      <c r="A389" s="15">
        <v>44265</v>
      </c>
      <c r="B389" s="27">
        <v>-35.446475737713023</v>
      </c>
      <c r="C389" s="16">
        <v>3.5729436181252154</v>
      </c>
      <c r="D389" s="26">
        <v>5</v>
      </c>
      <c r="E389" s="22">
        <v>6.8497541306718895E-5</v>
      </c>
      <c r="F389" s="13"/>
      <c r="G389" s="25">
        <v>340</v>
      </c>
      <c r="H389" s="14">
        <f t="shared" si="5"/>
        <v>278.85714285714283</v>
      </c>
    </row>
    <row r="390" spans="1:8">
      <c r="A390" s="15">
        <v>44266</v>
      </c>
      <c r="B390" s="27">
        <v>-35.080144686906195</v>
      </c>
      <c r="C390" s="16">
        <v>3.5628087167070213</v>
      </c>
      <c r="D390" s="26">
        <v>8</v>
      </c>
      <c r="E390" s="22">
        <v>8.0941802365601501E-5</v>
      </c>
      <c r="F390" s="13"/>
      <c r="G390" s="25">
        <v>335</v>
      </c>
      <c r="H390" s="14">
        <f t="shared" si="5"/>
        <v>279.14285714285717</v>
      </c>
    </row>
    <row r="391" spans="1:8">
      <c r="A391" s="15">
        <v>44267</v>
      </c>
      <c r="B391" s="27">
        <v>-37.461424196227625</v>
      </c>
      <c r="C391" s="16">
        <v>3.5514285714285707</v>
      </c>
      <c r="D391" s="26">
        <v>17</v>
      </c>
      <c r="E391" s="22">
        <v>9.4522278564642897E-5</v>
      </c>
      <c r="F391" s="13"/>
      <c r="G391" s="25">
        <v>304</v>
      </c>
      <c r="H391" s="14">
        <f t="shared" si="5"/>
        <v>287.42857142857144</v>
      </c>
    </row>
    <row r="392" spans="1:8">
      <c r="A392" s="15">
        <v>44268</v>
      </c>
      <c r="B392" s="27">
        <v>-38.634866469769158</v>
      </c>
      <c r="C392" s="16">
        <v>3.5446419923901757</v>
      </c>
      <c r="D392" s="26">
        <v>24</v>
      </c>
      <c r="E392" s="22">
        <v>9.6470075947772407E-5</v>
      </c>
      <c r="F392" s="13"/>
      <c r="G392" s="25">
        <v>330</v>
      </c>
      <c r="H392" s="14">
        <f t="shared" si="5"/>
        <v>288.85714285714283</v>
      </c>
    </row>
    <row r="393" spans="1:8">
      <c r="A393" s="15">
        <v>44269</v>
      </c>
      <c r="B393" s="27">
        <v>-31.575432864023444</v>
      </c>
      <c r="C393" s="16">
        <v>3.5424489795918364</v>
      </c>
      <c r="D393" s="26">
        <v>14</v>
      </c>
      <c r="E393" s="22">
        <v>9.6524181430637101E-5</v>
      </c>
      <c r="F393" s="13"/>
      <c r="G393" s="25">
        <v>239</v>
      </c>
      <c r="H393" s="14">
        <f t="shared" si="5"/>
        <v>298.71428571428572</v>
      </c>
    </row>
    <row r="394" spans="1:8">
      <c r="A394" s="15">
        <v>44270</v>
      </c>
      <c r="B394" s="27">
        <v>-32.615491807199795</v>
      </c>
      <c r="C394" s="16">
        <v>3.5448495330335517</v>
      </c>
      <c r="D394" s="26">
        <v>8</v>
      </c>
      <c r="E394" s="22">
        <v>1.00750750467195E-4</v>
      </c>
      <c r="F394" s="13"/>
      <c r="G394" s="25">
        <v>174</v>
      </c>
      <c r="H394" s="14">
        <f t="shared" si="5"/>
        <v>297</v>
      </c>
    </row>
    <row r="395" spans="1:8">
      <c r="A395" s="15">
        <v>44271</v>
      </c>
      <c r="B395" s="27">
        <v>-32.70835743622375</v>
      </c>
      <c r="C395" s="16">
        <v>3.551843652715323</v>
      </c>
      <c r="D395" s="26">
        <v>13</v>
      </c>
      <c r="E395" s="22">
        <v>1.05593702002087E-4</v>
      </c>
      <c r="F395" s="13"/>
      <c r="G395" s="25">
        <v>300</v>
      </c>
      <c r="H395" s="14">
        <f t="shared" si="5"/>
        <v>296.85714285714283</v>
      </c>
    </row>
    <row r="396" spans="1:8">
      <c r="A396" s="15">
        <v>44272</v>
      </c>
      <c r="B396" s="27">
        <v>-35.062832579825255</v>
      </c>
      <c r="C396" s="16">
        <v>3.5634313386371494</v>
      </c>
      <c r="D396" s="26">
        <v>13</v>
      </c>
      <c r="E396" s="22">
        <v>1.1233102652857899E-4</v>
      </c>
      <c r="F396" s="13"/>
      <c r="G396" s="25">
        <v>409</v>
      </c>
      <c r="H396" s="14">
        <f t="shared" si="5"/>
        <v>298.57142857142856</v>
      </c>
    </row>
    <row r="397" spans="1:8">
      <c r="A397" s="15">
        <v>44273</v>
      </c>
      <c r="B397" s="27">
        <v>-34.359455967778771</v>
      </c>
      <c r="C397" s="16">
        <v>3.579612590799031</v>
      </c>
      <c r="D397" s="26">
        <v>13</v>
      </c>
      <c r="E397" s="22">
        <v>1.20366629814465E-4</v>
      </c>
      <c r="F397" s="13"/>
      <c r="G397" s="25">
        <v>323</v>
      </c>
      <c r="H397" s="14">
        <f t="shared" si="5"/>
        <v>301</v>
      </c>
    </row>
    <row r="398" spans="1:8">
      <c r="A398" s="15">
        <v>44274</v>
      </c>
      <c r="B398" s="27">
        <v>-35.449854220386499</v>
      </c>
      <c r="C398" s="16">
        <v>3.6003874092009682</v>
      </c>
      <c r="D398" s="26">
        <v>17</v>
      </c>
      <c r="E398" s="22">
        <v>2.1037533674161699E-4</v>
      </c>
      <c r="F398" s="13"/>
      <c r="G398" s="25">
        <v>303</v>
      </c>
      <c r="H398" s="14">
        <f t="shared" si="5"/>
        <v>302.85714285714283</v>
      </c>
    </row>
    <row r="399" spans="1:8">
      <c r="A399" s="15">
        <v>44275</v>
      </c>
      <c r="B399" s="27">
        <v>-30.679444711553472</v>
      </c>
      <c r="C399" s="16">
        <v>3.6169699066067098</v>
      </c>
      <c r="D399" s="26">
        <v>23</v>
      </c>
      <c r="E399" s="22">
        <v>2.32045356596358E-4</v>
      </c>
      <c r="F399" s="13"/>
      <c r="G399" s="25">
        <v>342</v>
      </c>
      <c r="H399" s="14">
        <f t="shared" si="5"/>
        <v>308.14285714285717</v>
      </c>
    </row>
    <row r="400" spans="1:8">
      <c r="A400" s="15">
        <v>44276</v>
      </c>
      <c r="B400" s="27">
        <v>-39.60610890529194</v>
      </c>
      <c r="C400" s="16">
        <v>3.6293600830162576</v>
      </c>
      <c r="D400" s="26">
        <v>21</v>
      </c>
      <c r="E400" s="22">
        <v>2.3587105178447801E-4</v>
      </c>
      <c r="F400" s="13"/>
      <c r="G400" s="25">
        <v>256</v>
      </c>
      <c r="H400" s="14">
        <f t="shared" si="5"/>
        <v>309.71428571428572</v>
      </c>
    </row>
    <row r="401" spans="1:8">
      <c r="A401" s="15">
        <v>44277</v>
      </c>
      <c r="B401" s="27">
        <v>-29.483271686335399</v>
      </c>
      <c r="C401" s="16">
        <v>3.6375579384296088</v>
      </c>
      <c r="D401" s="26">
        <v>10</v>
      </c>
      <c r="E401" s="22">
        <v>4.33448909373089E-4</v>
      </c>
      <c r="F401" s="13"/>
      <c r="G401" s="25">
        <v>187</v>
      </c>
      <c r="H401" s="14">
        <f t="shared" si="5"/>
        <v>319.85714285714283</v>
      </c>
    </row>
    <row r="402" spans="1:8">
      <c r="A402" s="15">
        <v>44278</v>
      </c>
      <c r="B402" s="27">
        <v>-27.533298143113321</v>
      </c>
      <c r="C402" s="16">
        <v>3.6415634728467654</v>
      </c>
      <c r="D402" s="26">
        <v>13</v>
      </c>
      <c r="E402" s="22">
        <v>6.3274039276039898E-4</v>
      </c>
      <c r="F402" s="13"/>
      <c r="G402" s="25">
        <v>337</v>
      </c>
      <c r="H402" s="14">
        <f t="shared" si="5"/>
        <v>330.28571428571428</v>
      </c>
    </row>
    <row r="403" spans="1:8">
      <c r="A403" s="15">
        <v>44279</v>
      </c>
      <c r="B403" s="27">
        <v>-28.91475683737632</v>
      </c>
      <c r="C403" s="16">
        <v>3.6413766862677273</v>
      </c>
      <c r="D403" s="26">
        <v>36</v>
      </c>
      <c r="E403" s="22">
        <v>8.4139745473897805E-4</v>
      </c>
      <c r="F403" s="13"/>
      <c r="G403" s="25">
        <v>420</v>
      </c>
      <c r="H403" s="14">
        <f t="shared" si="5"/>
        <v>342.85714285714283</v>
      </c>
    </row>
    <row r="404" spans="1:8">
      <c r="A404" s="15">
        <v>44280</v>
      </c>
      <c r="B404" s="27">
        <v>-28.75077030449663</v>
      </c>
      <c r="C404" s="16">
        <v>3.6369975786924935</v>
      </c>
      <c r="D404" s="26">
        <v>23</v>
      </c>
      <c r="E404" s="22">
        <v>1.0030223118400799E-3</v>
      </c>
      <c r="F404" s="13"/>
      <c r="G404" s="25">
        <v>394</v>
      </c>
      <c r="H404" s="14">
        <f t="shared" si="5"/>
        <v>351</v>
      </c>
    </row>
    <row r="405" spans="1:8">
      <c r="A405" s="15">
        <v>44281</v>
      </c>
      <c r="B405" s="27">
        <v>-30.289268915726304</v>
      </c>
      <c r="C405" s="16">
        <v>3.6284261501210646</v>
      </c>
      <c r="D405" s="26">
        <v>34</v>
      </c>
      <c r="E405" s="22">
        <v>1.22443482654043E-3</v>
      </c>
      <c r="F405" s="13"/>
      <c r="G405" s="25">
        <v>376</v>
      </c>
      <c r="H405" s="14">
        <f t="shared" ref="H405:H468" si="6">SUM(G402:G408)/7</f>
        <v>357.71428571428572</v>
      </c>
    </row>
    <row r="406" spans="1:8">
      <c r="A406" s="15">
        <v>44282</v>
      </c>
      <c r="B406" s="27">
        <v>-25.479859632471857</v>
      </c>
      <c r="C406" s="16">
        <v>3.6207679003804905</v>
      </c>
      <c r="D406" s="26">
        <v>31</v>
      </c>
      <c r="E406" s="22">
        <v>1.2730649490864099E-3</v>
      </c>
      <c r="F406" s="13"/>
      <c r="G406" s="25">
        <v>430</v>
      </c>
      <c r="H406" s="14">
        <f t="shared" si="6"/>
        <v>361.57142857142856</v>
      </c>
    </row>
    <row r="407" spans="1:8">
      <c r="A407" s="15">
        <v>44283</v>
      </c>
      <c r="B407" s="27">
        <v>-30.937755737969898</v>
      </c>
      <c r="C407" s="16">
        <v>3.6140228294707706</v>
      </c>
      <c r="D407" s="26">
        <v>37</v>
      </c>
      <c r="E407" s="22">
        <v>1.2768809387229999E-3</v>
      </c>
      <c r="F407" s="13"/>
      <c r="G407" s="25">
        <v>313</v>
      </c>
      <c r="H407" s="14">
        <f t="shared" si="6"/>
        <v>360.71428571428572</v>
      </c>
    </row>
    <row r="408" spans="1:8">
      <c r="A408" s="15">
        <v>44284</v>
      </c>
      <c r="B408" s="27">
        <v>-27.300204751535635</v>
      </c>
      <c r="C408" s="16">
        <v>3.6081909373919054</v>
      </c>
      <c r="D408" s="26">
        <v>19</v>
      </c>
      <c r="E408" s="22">
        <v>1.52709807528438E-3</v>
      </c>
      <c r="F408" s="13"/>
      <c r="G408" s="25">
        <v>234</v>
      </c>
      <c r="H408" s="14">
        <f t="shared" si="6"/>
        <v>372.28571428571428</v>
      </c>
    </row>
    <row r="409" spans="1:8">
      <c r="A409" s="15">
        <v>44285</v>
      </c>
      <c r="B409" s="27">
        <v>-26.498307977092612</v>
      </c>
      <c r="C409" s="16">
        <v>3.6032722241438946</v>
      </c>
      <c r="D409" s="26">
        <v>22</v>
      </c>
      <c r="E409" s="22">
        <v>1.79338757936868E-3</v>
      </c>
      <c r="F409" s="13"/>
      <c r="G409" s="25">
        <v>364</v>
      </c>
      <c r="H409" s="14">
        <f t="shared" si="6"/>
        <v>381</v>
      </c>
    </row>
    <row r="410" spans="1:8">
      <c r="A410" s="15">
        <v>44286</v>
      </c>
      <c r="B410" s="27">
        <v>-27.011967563226946</v>
      </c>
      <c r="C410" s="16">
        <v>3.5992666897267385</v>
      </c>
      <c r="D410" s="26">
        <v>15</v>
      </c>
      <c r="E410" s="22">
        <v>2.0370042546434099E-3</v>
      </c>
      <c r="F410" s="13"/>
      <c r="G410" s="25">
        <v>414</v>
      </c>
      <c r="H410" s="14">
        <f t="shared" si="6"/>
        <v>383.28571428571428</v>
      </c>
    </row>
    <row r="411" spans="1:8">
      <c r="A411" s="15">
        <v>44287</v>
      </c>
      <c r="B411" s="27">
        <v>-27.363752989546104</v>
      </c>
      <c r="C411" s="16">
        <v>3.5961743341404362</v>
      </c>
      <c r="D411" s="26">
        <v>20</v>
      </c>
      <c r="E411" s="22">
        <v>2.2971072306998599E-3</v>
      </c>
      <c r="F411" s="13"/>
      <c r="G411" s="25">
        <v>475</v>
      </c>
      <c r="H411" s="14">
        <f t="shared" si="6"/>
        <v>389.14285714285717</v>
      </c>
    </row>
    <row r="412" spans="1:8">
      <c r="A412" s="15">
        <v>44288</v>
      </c>
      <c r="B412" s="27">
        <v>-31.10122329949268</v>
      </c>
      <c r="C412" s="16">
        <v>3.5939951573849882</v>
      </c>
      <c r="D412" s="26">
        <v>29</v>
      </c>
      <c r="E412" s="22">
        <v>2.5866971170219002E-3</v>
      </c>
      <c r="F412" s="13"/>
      <c r="G412" s="25">
        <v>437</v>
      </c>
      <c r="H412" s="14">
        <f t="shared" si="6"/>
        <v>391.14285714285717</v>
      </c>
    </row>
    <row r="413" spans="1:8">
      <c r="A413" s="15">
        <v>44289</v>
      </c>
      <c r="B413" s="27">
        <v>-27.98167822867169</v>
      </c>
      <c r="C413" s="16">
        <v>3.5905776547907302</v>
      </c>
      <c r="D413" s="26">
        <v>21</v>
      </c>
      <c r="E413" s="22">
        <v>2.6267650443246499E-3</v>
      </c>
      <c r="F413" s="13"/>
      <c r="G413" s="25">
        <v>446</v>
      </c>
      <c r="H413" s="14">
        <f t="shared" si="6"/>
        <v>395.85714285714283</v>
      </c>
    </row>
    <row r="414" spans="1:8">
      <c r="A414" s="15">
        <v>44290</v>
      </c>
      <c r="B414" s="27">
        <v>-32.820241741188191</v>
      </c>
      <c r="C414" s="16">
        <v>3.5859218263576609</v>
      </c>
      <c r="D414" s="26">
        <v>16</v>
      </c>
      <c r="E414" s="22">
        <v>2.6415544886019002E-3</v>
      </c>
      <c r="F414" s="13"/>
      <c r="G414" s="25">
        <v>354</v>
      </c>
      <c r="H414" s="14">
        <f t="shared" si="6"/>
        <v>415.85714285714283</v>
      </c>
    </row>
    <row r="415" spans="1:8">
      <c r="A415" s="15">
        <v>44291</v>
      </c>
      <c r="B415" s="27">
        <v>-28.914480903550597</v>
      </c>
      <c r="C415" s="16">
        <v>3.5800276720857829</v>
      </c>
      <c r="D415" s="26">
        <v>20</v>
      </c>
      <c r="E415" s="22">
        <v>2.7999353592725301E-3</v>
      </c>
      <c r="F415" s="13"/>
      <c r="G415" s="25">
        <v>248</v>
      </c>
      <c r="H415" s="14">
        <f t="shared" si="6"/>
        <v>425.57142857142856</v>
      </c>
    </row>
    <row r="416" spans="1:8">
      <c r="A416" s="15">
        <v>44292</v>
      </c>
      <c r="B416" s="27">
        <v>-28.271280441950598</v>
      </c>
      <c r="C416" s="16">
        <v>3.5728951919750949</v>
      </c>
      <c r="D416" s="26">
        <v>12</v>
      </c>
      <c r="E416" s="22">
        <v>2.9596586145262701E-3</v>
      </c>
      <c r="F416" s="13"/>
      <c r="G416" s="25">
        <v>397</v>
      </c>
      <c r="H416" s="14">
        <f t="shared" si="6"/>
        <v>439.85714285714283</v>
      </c>
    </row>
    <row r="417" spans="1:8">
      <c r="A417" s="15">
        <v>44293</v>
      </c>
      <c r="B417" s="27">
        <v>-29.871966887663977</v>
      </c>
      <c r="C417" s="16">
        <v>3.564524386025596</v>
      </c>
      <c r="D417" s="26">
        <v>10</v>
      </c>
      <c r="E417" s="22">
        <v>3.1469641700448501E-3</v>
      </c>
      <c r="F417" s="13"/>
      <c r="G417" s="25">
        <v>554</v>
      </c>
      <c r="H417" s="14">
        <f t="shared" si="6"/>
        <v>457.57142857142856</v>
      </c>
    </row>
    <row r="418" spans="1:8">
      <c r="A418" s="15">
        <v>44294</v>
      </c>
      <c r="B418" s="27">
        <v>-31.453900425739867</v>
      </c>
      <c r="C418" s="16">
        <v>3.5549152542372875</v>
      </c>
      <c r="D418" s="26">
        <v>13</v>
      </c>
      <c r="E418" s="22">
        <v>3.4127056845523599E-3</v>
      </c>
      <c r="F418" s="13"/>
      <c r="G418" s="25">
        <v>543</v>
      </c>
      <c r="H418" s="14">
        <f t="shared" si="6"/>
        <v>467.14285714285717</v>
      </c>
    </row>
    <row r="419" spans="1:8">
      <c r="A419" s="15">
        <v>44295</v>
      </c>
      <c r="B419" s="27">
        <v>-31.874073220990962</v>
      </c>
      <c r="C419" s="16">
        <v>3.5440677966101686</v>
      </c>
      <c r="D419" s="26">
        <v>21</v>
      </c>
      <c r="E419" s="22">
        <v>3.7307459581640799E-3</v>
      </c>
      <c r="F419" s="13"/>
      <c r="G419" s="25">
        <v>537</v>
      </c>
      <c r="H419" s="14">
        <f t="shared" si="6"/>
        <v>475.71428571428572</v>
      </c>
    </row>
    <row r="420" spans="1:8">
      <c r="A420" s="15">
        <v>44296</v>
      </c>
      <c r="B420" s="27">
        <v>-28.256379916453845</v>
      </c>
      <c r="C420" s="16">
        <v>3.5374749221722581</v>
      </c>
      <c r="D420" s="26">
        <v>25</v>
      </c>
      <c r="E420" s="22">
        <v>3.86192729674033E-3</v>
      </c>
      <c r="F420" s="13"/>
      <c r="G420" s="25">
        <v>570</v>
      </c>
      <c r="H420" s="14">
        <f t="shared" si="6"/>
        <v>492</v>
      </c>
    </row>
    <row r="421" spans="1:8">
      <c r="A421" s="15">
        <v>44297</v>
      </c>
      <c r="B421" s="27">
        <v>-31.715729468098964</v>
      </c>
      <c r="C421" s="16">
        <v>3.5351366309235557</v>
      </c>
      <c r="D421" s="26">
        <v>22</v>
      </c>
      <c r="E421" s="22">
        <v>3.8963826547790598E-3</v>
      </c>
      <c r="F421" s="13"/>
      <c r="G421" s="25">
        <v>421</v>
      </c>
      <c r="H421" s="14">
        <f t="shared" si="6"/>
        <v>497.28571428571428</v>
      </c>
    </row>
    <row r="422" spans="1:8">
      <c r="A422" s="15">
        <v>44298</v>
      </c>
      <c r="B422" s="27">
        <v>-30.480700515366227</v>
      </c>
      <c r="C422" s="16">
        <v>3.5370529228640604</v>
      </c>
      <c r="D422" s="26">
        <v>8</v>
      </c>
      <c r="E422" s="22">
        <v>4.0934554831428098E-3</v>
      </c>
      <c r="F422" s="13"/>
      <c r="G422" s="25">
        <v>308</v>
      </c>
      <c r="H422" s="14">
        <f t="shared" si="6"/>
        <v>523.71428571428567</v>
      </c>
    </row>
    <row r="423" spans="1:8">
      <c r="A423" s="15">
        <v>44299</v>
      </c>
      <c r="B423" s="27">
        <v>-32.110943194307865</v>
      </c>
      <c r="C423" s="16">
        <v>3.5432237979937731</v>
      </c>
      <c r="D423" s="26">
        <v>10</v>
      </c>
      <c r="E423" s="22">
        <v>4.2817688268066501E-3</v>
      </c>
      <c r="F423" s="13"/>
      <c r="G423" s="25">
        <v>511</v>
      </c>
      <c r="H423" s="14">
        <f t="shared" si="6"/>
        <v>542.14285714285711</v>
      </c>
    </row>
    <row r="424" spans="1:8">
      <c r="A424" s="15">
        <v>44300</v>
      </c>
      <c r="B424" s="27">
        <v>-34.891887289630908</v>
      </c>
      <c r="C424" s="16">
        <v>3.5536492563126942</v>
      </c>
      <c r="D424" s="26">
        <v>13</v>
      </c>
      <c r="E424" s="22">
        <v>4.3992226972902997E-3</v>
      </c>
      <c r="F424" s="13"/>
      <c r="G424" s="25">
        <v>591</v>
      </c>
      <c r="H424" s="14">
        <f t="shared" si="6"/>
        <v>569</v>
      </c>
    </row>
    <row r="425" spans="1:8">
      <c r="A425" s="15">
        <v>44301</v>
      </c>
      <c r="B425" s="27">
        <v>-31.423279409991071</v>
      </c>
      <c r="C425" s="16">
        <v>3.568329297820823</v>
      </c>
      <c r="D425" s="26">
        <v>15</v>
      </c>
      <c r="E425" s="22">
        <v>4.5266091394222099E-3</v>
      </c>
      <c r="F425" s="13"/>
      <c r="G425" s="25">
        <v>728</v>
      </c>
      <c r="H425" s="14">
        <f t="shared" si="6"/>
        <v>586.14285714285711</v>
      </c>
    </row>
    <row r="426" spans="1:8">
      <c r="A426" s="15">
        <v>44302</v>
      </c>
      <c r="B426" s="27">
        <v>-33.812802189329361</v>
      </c>
      <c r="C426" s="16">
        <v>3.5872639225181593</v>
      </c>
      <c r="D426" s="26">
        <v>13</v>
      </c>
      <c r="E426" s="22">
        <v>4.6650892642947301E-3</v>
      </c>
      <c r="F426" s="13"/>
      <c r="G426" s="25">
        <v>666</v>
      </c>
      <c r="H426" s="14">
        <f t="shared" si="6"/>
        <v>599.85714285714289</v>
      </c>
    </row>
    <row r="427" spans="1:8">
      <c r="A427" s="15">
        <v>44303</v>
      </c>
      <c r="B427" s="27">
        <v>-33.740657254715863</v>
      </c>
      <c r="C427" s="16">
        <v>3.6039640262884811</v>
      </c>
      <c r="D427" s="26">
        <v>24</v>
      </c>
      <c r="E427" s="22">
        <v>4.7480447647898997E-3</v>
      </c>
      <c r="F427" s="13"/>
      <c r="G427" s="25">
        <v>758</v>
      </c>
      <c r="H427" s="14">
        <f t="shared" si="6"/>
        <v>628.28571428571433</v>
      </c>
    </row>
    <row r="428" spans="1:8">
      <c r="A428" s="15">
        <v>44304</v>
      </c>
      <c r="B428" s="27">
        <v>-32.189055507309888</v>
      </c>
      <c r="C428" s="16">
        <v>3.618429609131788</v>
      </c>
      <c r="D428" s="26">
        <v>9</v>
      </c>
      <c r="E428" s="22">
        <v>4.79418467294143E-3</v>
      </c>
      <c r="F428" s="13"/>
      <c r="G428" s="25">
        <v>541</v>
      </c>
      <c r="H428" s="14">
        <f t="shared" si="6"/>
        <v>664.14285714285711</v>
      </c>
    </row>
    <row r="429" spans="1:8">
      <c r="A429" s="15">
        <v>44305</v>
      </c>
      <c r="B429" s="27">
        <v>-30.673328364569475</v>
      </c>
      <c r="C429" s="16">
        <v>3.6306606710480804</v>
      </c>
      <c r="D429" s="26">
        <v>11</v>
      </c>
      <c r="E429" s="22">
        <v>4.9992651385680799E-3</v>
      </c>
      <c r="F429" s="13"/>
      <c r="G429" s="25">
        <v>404</v>
      </c>
      <c r="H429" s="14">
        <f t="shared" si="6"/>
        <v>683</v>
      </c>
    </row>
    <row r="430" spans="1:8">
      <c r="A430" s="15">
        <v>44306</v>
      </c>
      <c r="B430" s="27">
        <v>-30.592424943599241</v>
      </c>
      <c r="C430" s="16">
        <v>3.6406572120373575</v>
      </c>
      <c r="D430" s="26">
        <v>13</v>
      </c>
      <c r="E430" s="22">
        <v>5.2178247990163898E-3</v>
      </c>
      <c r="F430" s="13"/>
      <c r="G430" s="25">
        <v>710</v>
      </c>
      <c r="H430" s="14">
        <f t="shared" si="6"/>
        <v>696.14285714285711</v>
      </c>
    </row>
    <row r="431" spans="1:8">
      <c r="A431" s="15">
        <v>44307</v>
      </c>
      <c r="B431" s="27">
        <v>-32.503493600781979</v>
      </c>
      <c r="C431" s="16">
        <v>3.64841923209962</v>
      </c>
      <c r="D431" s="26">
        <v>8</v>
      </c>
      <c r="E431" s="22">
        <v>5.4611697291680498E-3</v>
      </c>
      <c r="F431" s="13"/>
      <c r="G431" s="25">
        <v>842</v>
      </c>
      <c r="H431" s="14">
        <f t="shared" si="6"/>
        <v>712.85714285714289</v>
      </c>
    </row>
    <row r="432" spans="1:8">
      <c r="A432" s="15">
        <v>44308</v>
      </c>
      <c r="B432" s="27">
        <v>-32.587399365126593</v>
      </c>
      <c r="C432" s="16">
        <v>3.6539467312348668</v>
      </c>
      <c r="D432" s="26">
        <v>15</v>
      </c>
      <c r="E432" s="22">
        <v>5.6238639822215296E-3</v>
      </c>
      <c r="F432" s="13"/>
      <c r="G432" s="25">
        <v>860</v>
      </c>
      <c r="H432" s="14">
        <f t="shared" si="6"/>
        <v>726</v>
      </c>
    </row>
    <row r="433" spans="1:8">
      <c r="A433" s="15">
        <v>44309</v>
      </c>
      <c r="B433" s="27">
        <v>-34.051528099581688</v>
      </c>
      <c r="C433" s="16">
        <v>3.6572397094431</v>
      </c>
      <c r="D433" s="26">
        <v>21</v>
      </c>
      <c r="E433" s="22">
        <v>5.8536821959515603E-3</v>
      </c>
      <c r="F433" s="13"/>
      <c r="G433" s="25">
        <v>758</v>
      </c>
      <c r="H433" s="14">
        <f t="shared" si="6"/>
        <v>729</v>
      </c>
    </row>
    <row r="434" spans="1:8">
      <c r="A434" s="15">
        <v>44310</v>
      </c>
      <c r="B434" s="27">
        <v>-27.560279049147368</v>
      </c>
      <c r="C434" s="16">
        <v>3.6598270494638538</v>
      </c>
      <c r="D434" s="26">
        <v>18</v>
      </c>
      <c r="E434" s="22">
        <v>5.9262311007087102E-3</v>
      </c>
      <c r="F434" s="13"/>
      <c r="G434" s="25">
        <v>875</v>
      </c>
      <c r="H434" s="14">
        <f t="shared" si="6"/>
        <v>746.14285714285711</v>
      </c>
    </row>
    <row r="435" spans="1:8">
      <c r="A435" s="15">
        <v>44311</v>
      </c>
      <c r="B435" s="27">
        <v>-51.837367938980528</v>
      </c>
      <c r="C435" s="16">
        <v>3.6617087512971289</v>
      </c>
      <c r="D435" s="26">
        <v>18</v>
      </c>
      <c r="E435" s="22">
        <v>5.9677479982287E-3</v>
      </c>
      <c r="F435" s="13"/>
      <c r="G435" s="25">
        <v>633</v>
      </c>
      <c r="H435" s="14">
        <f t="shared" si="6"/>
        <v>758.28571428571433</v>
      </c>
    </row>
    <row r="436" spans="1:8">
      <c r="A436" s="15">
        <v>44312</v>
      </c>
      <c r="B436" s="27">
        <v>-42.224389716630739</v>
      </c>
      <c r="C436" s="16">
        <v>3.6628848149429261</v>
      </c>
      <c r="D436" s="26">
        <v>7</v>
      </c>
      <c r="E436" s="22">
        <v>6.0492691152127104E-3</v>
      </c>
      <c r="F436" s="13"/>
      <c r="G436" s="25">
        <v>425</v>
      </c>
      <c r="H436" s="14">
        <f t="shared" si="6"/>
        <v>782.28571428571433</v>
      </c>
    </row>
    <row r="437" spans="1:8">
      <c r="A437" s="15">
        <v>44313</v>
      </c>
      <c r="B437" s="27">
        <v>-43.343625267542087</v>
      </c>
      <c r="C437" s="16">
        <v>3.6633552404012453</v>
      </c>
      <c r="D437" s="26">
        <v>8</v>
      </c>
      <c r="E437" s="22">
        <v>6.1040827318342202E-3</v>
      </c>
      <c r="F437" s="13"/>
      <c r="G437" s="25">
        <v>830</v>
      </c>
      <c r="H437" s="14">
        <f t="shared" si="6"/>
        <v>773.71428571428567</v>
      </c>
    </row>
    <row r="438" spans="1:8">
      <c r="A438" s="15">
        <v>44314</v>
      </c>
      <c r="B438" s="27">
        <v>-44.039915324797789</v>
      </c>
      <c r="C438" s="16">
        <v>3.6631200276720861</v>
      </c>
      <c r="D438" s="26">
        <v>12</v>
      </c>
      <c r="E438" s="22">
        <v>6.1854840747791601E-3</v>
      </c>
      <c r="F438" s="13"/>
      <c r="G438" s="25">
        <v>927</v>
      </c>
      <c r="H438" s="14">
        <f t="shared" si="6"/>
        <v>799</v>
      </c>
    </row>
    <row r="439" spans="1:8">
      <c r="A439" s="15">
        <v>44315</v>
      </c>
      <c r="B439" s="27">
        <v>-64.408786736964089</v>
      </c>
      <c r="C439" s="16">
        <v>3.6621791767554481</v>
      </c>
      <c r="D439" s="26">
        <v>10</v>
      </c>
      <c r="E439" s="22">
        <v>6.3423381811866597E-3</v>
      </c>
      <c r="F439" s="13"/>
      <c r="G439" s="25">
        <v>1028</v>
      </c>
      <c r="H439" s="14">
        <f t="shared" si="6"/>
        <v>833.85714285714289</v>
      </c>
    </row>
    <row r="440" spans="1:8">
      <c r="A440" s="15">
        <v>44316</v>
      </c>
      <c r="B440" s="27">
        <v>-51.57292982213</v>
      </c>
      <c r="C440" s="16">
        <v>3.6605326876513318</v>
      </c>
      <c r="D440" s="26">
        <v>8</v>
      </c>
      <c r="E440" s="22">
        <v>6.6007663175320199E-3</v>
      </c>
      <c r="F440" s="13"/>
      <c r="G440" s="25">
        <v>698</v>
      </c>
      <c r="H440" s="14">
        <f t="shared" si="6"/>
        <v>874.28571428571433</v>
      </c>
    </row>
    <row r="441" spans="1:8">
      <c r="A441" s="15">
        <v>44317</v>
      </c>
      <c r="B441" s="27">
        <v>-56.740435588912966</v>
      </c>
      <c r="C441" s="16">
        <v>3.659072985126254</v>
      </c>
      <c r="D441" s="26">
        <v>21</v>
      </c>
      <c r="E441" s="22">
        <v>6.8299675605484698E-3</v>
      </c>
      <c r="F441" s="13"/>
      <c r="G441" s="25">
        <v>1052</v>
      </c>
      <c r="H441" s="14">
        <f t="shared" si="6"/>
        <v>842.14285714285711</v>
      </c>
    </row>
    <row r="442" spans="1:8">
      <c r="A442" s="15">
        <v>44318</v>
      </c>
      <c r="B442" s="27">
        <v>-58.243199729843134</v>
      </c>
      <c r="C442" s="16">
        <v>3.6578000691802148</v>
      </c>
      <c r="D442" s="26">
        <v>18</v>
      </c>
      <c r="E442" s="22">
        <v>6.94230290581529E-3</v>
      </c>
      <c r="F442" s="13"/>
      <c r="G442" s="25">
        <v>877</v>
      </c>
      <c r="H442" s="14">
        <f t="shared" si="6"/>
        <v>798</v>
      </c>
    </row>
    <row r="443" spans="1:8">
      <c r="A443" s="15">
        <v>44319</v>
      </c>
      <c r="B443" s="27">
        <v>-64.289827679325569</v>
      </c>
      <c r="C443" s="16">
        <v>3.6567139398132134</v>
      </c>
      <c r="D443" s="26">
        <v>22</v>
      </c>
      <c r="E443" s="22">
        <v>7.4997245811115401E-3</v>
      </c>
      <c r="F443" s="13"/>
      <c r="G443" s="25">
        <v>708</v>
      </c>
      <c r="H443" s="14">
        <f t="shared" si="6"/>
        <v>735.42857142857144</v>
      </c>
    </row>
    <row r="444" spans="1:8">
      <c r="A444" s="15">
        <v>44320</v>
      </c>
      <c r="B444" s="27">
        <v>-64.67999797535721</v>
      </c>
      <c r="C444" s="16">
        <v>3.6558145970252509</v>
      </c>
      <c r="D444" s="26">
        <v>43</v>
      </c>
      <c r="E444" s="22">
        <v>8.2792287018327894E-3</v>
      </c>
      <c r="F444" s="13"/>
      <c r="G444" s="25">
        <v>605</v>
      </c>
      <c r="H444" s="14">
        <f t="shared" si="6"/>
        <v>765.42857142857144</v>
      </c>
    </row>
    <row r="445" spans="1:8">
      <c r="A445" s="15">
        <v>44321</v>
      </c>
      <c r="B445" s="27">
        <v>-67.731316766254167</v>
      </c>
      <c r="C445" s="16">
        <v>3.6551020408163266</v>
      </c>
      <c r="D445" s="26">
        <v>21</v>
      </c>
      <c r="E445" s="22">
        <v>9.2751694387548395E-3</v>
      </c>
      <c r="F445" s="13"/>
      <c r="G445" s="25">
        <v>618</v>
      </c>
      <c r="H445" s="14">
        <f t="shared" si="6"/>
        <v>776</v>
      </c>
    </row>
    <row r="446" spans="1:8">
      <c r="A446" s="15">
        <v>44322</v>
      </c>
      <c r="B446" s="27">
        <v>-49.102588744465365</v>
      </c>
      <c r="C446" s="16">
        <v>3.6545762711864405</v>
      </c>
      <c r="D446" s="26">
        <v>4</v>
      </c>
      <c r="E446" s="22">
        <v>1.02374134914678E-2</v>
      </c>
      <c r="F446" s="13"/>
      <c r="G446" s="25">
        <v>590</v>
      </c>
      <c r="H446" s="14">
        <f t="shared" si="6"/>
        <v>798.28571428571433</v>
      </c>
    </row>
    <row r="447" spans="1:8">
      <c r="A447" s="15">
        <v>44323</v>
      </c>
      <c r="B447" s="27">
        <v>-51.639166665040023</v>
      </c>
      <c r="C447" s="16">
        <v>3.6542372881355938</v>
      </c>
      <c r="D447" s="26">
        <v>13</v>
      </c>
      <c r="E447" s="22">
        <v>1.13002789285727E-2</v>
      </c>
      <c r="F447" s="13"/>
      <c r="G447" s="25">
        <v>908</v>
      </c>
      <c r="H447" s="14">
        <f t="shared" si="6"/>
        <v>779.14285714285711</v>
      </c>
    </row>
    <row r="448" spans="1:8">
      <c r="A448" s="15">
        <v>44324</v>
      </c>
      <c r="B448" s="27">
        <v>-55.884953887268885</v>
      </c>
      <c r="C448" s="16">
        <v>3.6535869941196819</v>
      </c>
      <c r="D448" s="26">
        <v>15</v>
      </c>
      <c r="E448" s="22">
        <v>1.1948215026272101E-2</v>
      </c>
      <c r="F448" s="13"/>
      <c r="G448" s="25">
        <v>1126</v>
      </c>
      <c r="H448" s="14">
        <f t="shared" si="6"/>
        <v>824.71428571428567</v>
      </c>
    </row>
    <row r="449" spans="1:8">
      <c r="A449" s="15">
        <v>44325</v>
      </c>
      <c r="B449" s="27">
        <v>-58.030569980938843</v>
      </c>
      <c r="C449" s="16">
        <v>3.6526253891387066</v>
      </c>
      <c r="D449" s="26">
        <v>15</v>
      </c>
      <c r="E449" s="22">
        <v>1.2212667874695601E-2</v>
      </c>
      <c r="F449" s="13"/>
      <c r="G449" s="25">
        <v>1033</v>
      </c>
      <c r="H449" s="14">
        <f t="shared" si="6"/>
        <v>875.14285714285711</v>
      </c>
    </row>
    <row r="450" spans="1:8">
      <c r="A450" s="15">
        <v>44326</v>
      </c>
      <c r="B450" s="27">
        <v>-44.23936831211627</v>
      </c>
      <c r="C450" s="16">
        <v>3.651352473192667</v>
      </c>
      <c r="D450" s="26">
        <v>6</v>
      </c>
      <c r="E450" s="22">
        <v>1.30098313263893E-2</v>
      </c>
      <c r="F450" s="13"/>
      <c r="G450" s="25">
        <v>574</v>
      </c>
      <c r="H450" s="14">
        <f t="shared" si="6"/>
        <v>935.28571428571433</v>
      </c>
    </row>
    <row r="451" spans="1:8">
      <c r="A451" s="15">
        <v>44327</v>
      </c>
      <c r="B451" s="27">
        <v>-44.862071209579454</v>
      </c>
      <c r="C451" s="16">
        <v>3.6497682462815635</v>
      </c>
      <c r="D451" s="26">
        <v>4</v>
      </c>
      <c r="E451" s="22">
        <v>1.40034018912647E-2</v>
      </c>
      <c r="F451" s="13"/>
      <c r="G451" s="25">
        <v>924</v>
      </c>
      <c r="H451" s="14">
        <f t="shared" si="6"/>
        <v>927.42857142857144</v>
      </c>
    </row>
    <row r="452" spans="1:8">
      <c r="A452" s="15">
        <v>44328</v>
      </c>
      <c r="B452" s="27">
        <v>-44.442119053000006</v>
      </c>
      <c r="C452" s="16">
        <v>3.6478727084053966</v>
      </c>
      <c r="D452" s="26">
        <v>8</v>
      </c>
      <c r="E452" s="22">
        <v>1.53003229931182E-2</v>
      </c>
      <c r="F452" s="13"/>
      <c r="G452" s="25">
        <v>971</v>
      </c>
      <c r="H452" s="14">
        <f t="shared" si="6"/>
        <v>876.71428571428567</v>
      </c>
    </row>
    <row r="453" spans="1:8">
      <c r="A453" s="15">
        <v>44329</v>
      </c>
      <c r="B453" s="27">
        <v>-45.244931631022666</v>
      </c>
      <c r="C453" s="16">
        <v>3.6456658595641649</v>
      </c>
      <c r="D453" s="26">
        <v>4</v>
      </c>
      <c r="E453" s="22">
        <v>1.5568857621912E-2</v>
      </c>
      <c r="F453" s="13"/>
      <c r="G453" s="25">
        <v>1011</v>
      </c>
      <c r="H453" s="14">
        <f t="shared" si="6"/>
        <v>806.71428571428567</v>
      </c>
    </row>
    <row r="454" spans="1:8">
      <c r="A454" s="15">
        <v>44330</v>
      </c>
      <c r="B454" s="27">
        <v>-44.343777022582337</v>
      </c>
      <c r="C454" s="16">
        <v>3.6431476997578689</v>
      </c>
      <c r="D454" s="26">
        <v>13</v>
      </c>
      <c r="E454" s="22">
        <v>1.6475970375333798E-2</v>
      </c>
      <c r="F454" s="13"/>
      <c r="G454" s="25">
        <v>853</v>
      </c>
      <c r="H454" s="14">
        <f t="shared" si="6"/>
        <v>784.71428571428567</v>
      </c>
    </row>
    <row r="455" spans="1:8">
      <c r="A455" s="15">
        <v>44331</v>
      </c>
      <c r="B455" s="27">
        <v>-45.48000793001605</v>
      </c>
      <c r="C455" s="16">
        <v>3.6408716707021789</v>
      </c>
      <c r="D455" s="26">
        <v>11</v>
      </c>
      <c r="E455" s="22">
        <v>1.71563465901673E-2</v>
      </c>
      <c r="F455" s="13"/>
      <c r="G455" s="25">
        <v>771</v>
      </c>
      <c r="H455" s="14">
        <f t="shared" si="6"/>
        <v>757.28571428571433</v>
      </c>
    </row>
    <row r="456" spans="1:8">
      <c r="A456" s="15">
        <v>44332</v>
      </c>
      <c r="B456" s="27">
        <v>-48.245910631869258</v>
      </c>
      <c r="C456" s="16">
        <v>3.6388377723970948</v>
      </c>
      <c r="D456" s="26">
        <v>13</v>
      </c>
      <c r="E456" s="22">
        <v>1.7498232629903201E-2</v>
      </c>
      <c r="F456" s="13"/>
      <c r="G456" s="25">
        <v>543</v>
      </c>
      <c r="H456" s="14">
        <f t="shared" si="6"/>
        <v>728.42857142857144</v>
      </c>
    </row>
    <row r="457" spans="1:8">
      <c r="A457" s="15">
        <v>44333</v>
      </c>
      <c r="B457" s="27">
        <v>-40.195790232471687</v>
      </c>
      <c r="C457" s="16">
        <v>3.6370460048426154</v>
      </c>
      <c r="D457" s="26">
        <v>5</v>
      </c>
      <c r="E457" s="22">
        <v>1.7645362609569601E-2</v>
      </c>
      <c r="F457" s="13"/>
      <c r="G457" s="25">
        <v>420</v>
      </c>
      <c r="H457" s="14">
        <f t="shared" si="6"/>
        <v>704.57142857142856</v>
      </c>
    </row>
    <row r="458" spans="1:8">
      <c r="A458" s="15">
        <v>44334</v>
      </c>
      <c r="B458" s="27">
        <v>-40.718675883611958</v>
      </c>
      <c r="C458" s="16">
        <v>3.6354963680387411</v>
      </c>
      <c r="D458" s="26">
        <v>4</v>
      </c>
      <c r="E458" s="22">
        <v>1.78056472079181E-2</v>
      </c>
      <c r="F458" s="13"/>
      <c r="G458" s="25">
        <v>732</v>
      </c>
      <c r="H458" s="14">
        <f t="shared" si="6"/>
        <v>675.14285714285711</v>
      </c>
    </row>
    <row r="459" spans="1:8">
      <c r="A459" s="15">
        <v>44335</v>
      </c>
      <c r="B459" s="27">
        <v>-42.768672961009919</v>
      </c>
      <c r="C459" s="16">
        <v>3.6341888619854719</v>
      </c>
      <c r="D459" s="26">
        <v>8</v>
      </c>
      <c r="E459" s="22">
        <v>1.8011554492626501E-2</v>
      </c>
      <c r="F459" s="13"/>
      <c r="G459" s="25">
        <v>769</v>
      </c>
      <c r="H459" s="14">
        <f t="shared" si="6"/>
        <v>650.71428571428567</v>
      </c>
    </row>
    <row r="460" spans="1:8">
      <c r="A460" s="15">
        <v>44336</v>
      </c>
      <c r="B460" s="27">
        <v>-41.6621337599653</v>
      </c>
      <c r="C460" s="16">
        <v>3.6331234866828086</v>
      </c>
      <c r="D460" s="26">
        <v>8</v>
      </c>
      <c r="E460" s="22">
        <v>1.8480270796342201E-2</v>
      </c>
      <c r="F460" s="13"/>
      <c r="G460" s="25">
        <v>844</v>
      </c>
      <c r="H460" s="14">
        <f t="shared" si="6"/>
        <v>649.14285714285711</v>
      </c>
    </row>
    <row r="461" spans="1:8">
      <c r="A461" s="15">
        <v>44337</v>
      </c>
      <c r="B461" s="27">
        <v>-43.488293711599056</v>
      </c>
      <c r="C461" s="16">
        <v>3.6323002421307504</v>
      </c>
      <c r="D461" s="26">
        <v>11</v>
      </c>
      <c r="E461" s="22">
        <v>1.8971224794060899E-2</v>
      </c>
      <c r="F461" s="13"/>
      <c r="G461" s="25">
        <v>647</v>
      </c>
      <c r="H461" s="14">
        <f t="shared" si="6"/>
        <v>637.71428571428567</v>
      </c>
    </row>
    <row r="462" spans="1:8">
      <c r="A462" s="15">
        <v>44338</v>
      </c>
      <c r="B462" s="27">
        <v>-41.893314746707794</v>
      </c>
      <c r="C462" s="16">
        <v>3.6331649948114841</v>
      </c>
      <c r="D462" s="26">
        <v>12</v>
      </c>
      <c r="E462" s="22">
        <v>1.9510823341078402E-2</v>
      </c>
      <c r="F462" s="13"/>
      <c r="G462" s="25">
        <v>600</v>
      </c>
      <c r="H462" s="14">
        <f t="shared" si="6"/>
        <v>610.28571428571433</v>
      </c>
    </row>
    <row r="463" spans="1:8">
      <c r="A463" s="15">
        <v>44339</v>
      </c>
      <c r="B463" s="27">
        <v>-43.125148219310702</v>
      </c>
      <c r="C463" s="16">
        <v>3.6357177447250089</v>
      </c>
      <c r="D463" s="26">
        <v>14</v>
      </c>
      <c r="E463" s="22">
        <v>2.04657803408414E-2</v>
      </c>
      <c r="F463" s="13"/>
      <c r="G463" s="25">
        <v>532</v>
      </c>
      <c r="H463" s="14">
        <f t="shared" si="6"/>
        <v>606.71428571428567</v>
      </c>
    </row>
    <row r="464" spans="1:8">
      <c r="A464" s="15">
        <v>44340</v>
      </c>
      <c r="B464" s="27">
        <v>-38.471707077128919</v>
      </c>
      <c r="C464" s="16">
        <v>3.639958491871325</v>
      </c>
      <c r="D464" s="26">
        <v>9</v>
      </c>
      <c r="E464" s="22">
        <v>2.1313332250398099E-2</v>
      </c>
      <c r="F464" s="13"/>
      <c r="G464" s="25">
        <v>340</v>
      </c>
      <c r="H464" s="14">
        <f t="shared" si="6"/>
        <v>583.28571428571433</v>
      </c>
    </row>
    <row r="465" spans="1:8">
      <c r="A465" s="15">
        <v>44341</v>
      </c>
      <c r="B465" s="27">
        <v>-37.765951292879038</v>
      </c>
      <c r="C465" s="16">
        <v>3.6458872362504322</v>
      </c>
      <c r="D465" s="26">
        <v>7</v>
      </c>
      <c r="E465" s="22">
        <v>2.2321874085138201E-2</v>
      </c>
      <c r="F465" s="13"/>
      <c r="G465" s="25">
        <v>540</v>
      </c>
      <c r="H465" s="14">
        <f t="shared" si="6"/>
        <v>578.42857142857144</v>
      </c>
    </row>
    <row r="466" spans="1:8">
      <c r="A466" s="15">
        <v>44342</v>
      </c>
      <c r="B466" s="27">
        <v>-40.029090995198281</v>
      </c>
      <c r="C466" s="16">
        <v>3.6535039778623313</v>
      </c>
      <c r="D466" s="26">
        <v>5</v>
      </c>
      <c r="E466" s="22">
        <v>2.3681381763632901E-2</v>
      </c>
      <c r="F466" s="13"/>
      <c r="G466" s="25">
        <v>744</v>
      </c>
      <c r="H466" s="14">
        <f t="shared" si="6"/>
        <v>570</v>
      </c>
    </row>
    <row r="467" spans="1:8">
      <c r="A467" s="15">
        <v>44343</v>
      </c>
      <c r="B467" s="27">
        <v>-42.384977420042134</v>
      </c>
      <c r="C467" s="16">
        <v>3.6628087167070214</v>
      </c>
      <c r="D467" s="26">
        <v>5</v>
      </c>
      <c r="E467" s="22">
        <v>2.5038562880565499E-2</v>
      </c>
      <c r="F467" s="13"/>
      <c r="G467" s="25">
        <v>680</v>
      </c>
      <c r="H467" s="14">
        <f t="shared" si="6"/>
        <v>557.71428571428567</v>
      </c>
    </row>
    <row r="468" spans="1:8">
      <c r="A468" s="15">
        <v>44344</v>
      </c>
      <c r="B468" s="27">
        <v>-40.718936514783891</v>
      </c>
      <c r="C468" s="16">
        <v>3.6738014527845038</v>
      </c>
      <c r="D468" s="26">
        <v>9</v>
      </c>
      <c r="E468" s="22">
        <v>2.6271084655390901E-2</v>
      </c>
      <c r="F468" s="13"/>
      <c r="G468" s="25">
        <v>613</v>
      </c>
      <c r="H468" s="14">
        <f t="shared" si="6"/>
        <v>546.14285714285711</v>
      </c>
    </row>
    <row r="469" spans="1:8">
      <c r="A469" s="15">
        <v>44345</v>
      </c>
      <c r="B469" s="27">
        <v>-39.199528882117498</v>
      </c>
      <c r="C469" s="16">
        <v>3.6845935662400557</v>
      </c>
      <c r="D469" s="26">
        <v>19</v>
      </c>
      <c r="E469" s="22">
        <v>2.7699505423463201E-2</v>
      </c>
      <c r="F469" s="13"/>
      <c r="G469" s="25">
        <v>541</v>
      </c>
      <c r="H469" s="14">
        <f t="shared" ref="H469:H532" si="7">SUM(G466:G472)/7</f>
        <v>536.28571428571433</v>
      </c>
    </row>
    <row r="470" spans="1:8">
      <c r="A470" s="15">
        <v>44346</v>
      </c>
      <c r="B470" s="27">
        <v>-41.527158444374962</v>
      </c>
      <c r="C470" s="16">
        <v>3.6951850570736768</v>
      </c>
      <c r="D470" s="26">
        <v>13</v>
      </c>
      <c r="E470" s="22">
        <v>2.9517570747820601E-2</v>
      </c>
      <c r="F470" s="13"/>
      <c r="G470" s="25">
        <v>446</v>
      </c>
      <c r="H470" s="14">
        <f t="shared" si="7"/>
        <v>499.57142857142856</v>
      </c>
    </row>
    <row r="471" spans="1:8">
      <c r="A471" s="15">
        <v>44347</v>
      </c>
      <c r="B471" s="27">
        <v>-36.980895334243094</v>
      </c>
      <c r="C471" s="16">
        <v>3.7055759252853684</v>
      </c>
      <c r="D471" s="26">
        <v>6</v>
      </c>
      <c r="E471" s="22">
        <v>3.0856469964702801E-2</v>
      </c>
      <c r="F471" s="13"/>
      <c r="G471" s="25">
        <v>259</v>
      </c>
      <c r="H471" s="14">
        <f t="shared" si="7"/>
        <v>475.14285714285717</v>
      </c>
    </row>
    <row r="472" spans="1:8">
      <c r="A472" s="15">
        <v>44348</v>
      </c>
      <c r="B472" s="27">
        <v>-35.834875918320122</v>
      </c>
      <c r="C472" s="16">
        <v>3.7157661708751299</v>
      </c>
      <c r="D472" s="26">
        <v>10</v>
      </c>
      <c r="E472" s="22">
        <v>3.2549714141322898E-2</v>
      </c>
      <c r="F472" s="13"/>
      <c r="G472" s="25">
        <v>471</v>
      </c>
      <c r="H472" s="14">
        <f t="shared" si="7"/>
        <v>455</v>
      </c>
    </row>
    <row r="473" spans="1:8">
      <c r="A473" s="15">
        <v>44349</v>
      </c>
      <c r="B473" s="27">
        <v>-38.494065666810251</v>
      </c>
      <c r="C473" s="16">
        <v>3.7257557938429611</v>
      </c>
      <c r="D473" s="26">
        <v>8</v>
      </c>
      <c r="E473" s="22">
        <v>3.4726937455372399E-2</v>
      </c>
      <c r="F473" s="13"/>
      <c r="G473" s="25">
        <v>487</v>
      </c>
      <c r="H473" s="14">
        <f t="shared" si="7"/>
        <v>439.85714285714283</v>
      </c>
    </row>
    <row r="474" spans="1:8">
      <c r="A474" s="15">
        <v>44350</v>
      </c>
      <c r="B474" s="27">
        <v>-38.262957712064441</v>
      </c>
      <c r="C474" s="16">
        <v>3.7355447941888618</v>
      </c>
      <c r="D474" s="26">
        <v>10</v>
      </c>
      <c r="E474" s="22">
        <v>3.6908696022466797E-2</v>
      </c>
      <c r="F474" s="13"/>
      <c r="G474" s="25">
        <v>509</v>
      </c>
      <c r="H474" s="14">
        <f t="shared" si="7"/>
        <v>426.14285714285717</v>
      </c>
    </row>
    <row r="475" spans="1:8">
      <c r="A475" s="15">
        <v>44351</v>
      </c>
      <c r="B475" s="27">
        <v>-42.046763991882408</v>
      </c>
      <c r="C475" s="16">
        <v>3.7451331719128329</v>
      </c>
      <c r="D475" s="26">
        <v>10</v>
      </c>
      <c r="E475" s="22">
        <v>3.8806482148498002E-2</v>
      </c>
      <c r="F475" s="13"/>
      <c r="G475" s="25">
        <v>472</v>
      </c>
      <c r="H475" s="14">
        <f t="shared" si="7"/>
        <v>423</v>
      </c>
    </row>
    <row r="476" spans="1:8">
      <c r="A476" s="15">
        <v>44352</v>
      </c>
      <c r="B476" s="27">
        <v>-36.623093205787036</v>
      </c>
      <c r="C476" s="16">
        <v>3.7566724316845383</v>
      </c>
      <c r="D476" s="26">
        <v>11</v>
      </c>
      <c r="E476" s="22">
        <v>4.0997734267117801E-2</v>
      </c>
      <c r="F476" s="13"/>
      <c r="G476" s="25">
        <v>435</v>
      </c>
      <c r="H476" s="14">
        <f t="shared" si="7"/>
        <v>408.57142857142856</v>
      </c>
    </row>
    <row r="477" spans="1:8">
      <c r="A477" s="15">
        <v>44353</v>
      </c>
      <c r="B477" s="27">
        <v>-37.907107272387108</v>
      </c>
      <c r="C477" s="16">
        <v>3.7701625735039781</v>
      </c>
      <c r="D477" s="26">
        <v>16</v>
      </c>
      <c r="E477" s="22">
        <v>4.3880937525937601E-2</v>
      </c>
      <c r="F477" s="13"/>
      <c r="G477" s="25">
        <v>350</v>
      </c>
      <c r="H477" s="14">
        <f t="shared" si="7"/>
        <v>401.85714285714283</v>
      </c>
    </row>
    <row r="478" spans="1:8">
      <c r="A478" s="15">
        <v>44354</v>
      </c>
      <c r="B478" s="27">
        <v>-35.583713507064786</v>
      </c>
      <c r="C478" s="16">
        <v>3.7856035973711522</v>
      </c>
      <c r="D478" s="26">
        <v>7</v>
      </c>
      <c r="E478" s="22">
        <v>4.64793216181702E-2</v>
      </c>
      <c r="F478" s="13"/>
      <c r="G478" s="25">
        <v>237</v>
      </c>
      <c r="H478" s="14">
        <f t="shared" si="7"/>
        <v>391.42857142857144</v>
      </c>
    </row>
    <row r="479" spans="1:8">
      <c r="A479" s="15">
        <v>44355</v>
      </c>
      <c r="B479" s="27">
        <v>-36.014599120726558</v>
      </c>
      <c r="C479" s="16">
        <v>3.8029955032860601</v>
      </c>
      <c r="D479" s="26">
        <v>9</v>
      </c>
      <c r="E479" s="22">
        <v>4.9502552735483103E-2</v>
      </c>
      <c r="F479" s="13"/>
      <c r="G479" s="25">
        <v>370</v>
      </c>
      <c r="H479" s="14">
        <f t="shared" si="7"/>
        <v>386.14285714285717</v>
      </c>
    </row>
    <row r="480" spans="1:8">
      <c r="A480" s="15">
        <v>44356</v>
      </c>
      <c r="B480" s="27">
        <v>-37.090879586471885</v>
      </c>
      <c r="C480" s="16">
        <v>3.8223382912487023</v>
      </c>
      <c r="D480" s="26">
        <v>4</v>
      </c>
      <c r="E480" s="22">
        <v>5.3105097552763499E-2</v>
      </c>
      <c r="F480" s="13"/>
      <c r="G480" s="25">
        <v>440</v>
      </c>
      <c r="H480" s="14">
        <f t="shared" si="7"/>
        <v>390.71428571428572</v>
      </c>
    </row>
    <row r="481" spans="1:8">
      <c r="A481" s="15">
        <v>44357</v>
      </c>
      <c r="B481" s="27">
        <v>-36.473661581817026</v>
      </c>
      <c r="C481" s="16">
        <v>3.8436319612590801</v>
      </c>
      <c r="D481" s="26">
        <v>6</v>
      </c>
      <c r="E481" s="22">
        <v>5.64908879060603E-2</v>
      </c>
      <c r="F481" s="13"/>
      <c r="G481" s="25">
        <v>436</v>
      </c>
      <c r="H481" s="14">
        <f t="shared" si="7"/>
        <v>383.85714285714283</v>
      </c>
    </row>
    <row r="482" spans="1:8">
      <c r="A482" s="15">
        <v>44358</v>
      </c>
      <c r="B482" s="27">
        <v>-38.032700699911317</v>
      </c>
      <c r="C482" s="16">
        <v>3.866876513317191</v>
      </c>
      <c r="D482" s="26">
        <v>10</v>
      </c>
      <c r="E482" s="22">
        <v>5.96666466105907E-2</v>
      </c>
      <c r="F482" s="13"/>
      <c r="G482" s="25">
        <v>435</v>
      </c>
      <c r="H482" s="14">
        <f t="shared" si="7"/>
        <v>379.71428571428572</v>
      </c>
    </row>
    <row r="483" spans="1:8">
      <c r="A483" s="15">
        <v>44359</v>
      </c>
      <c r="B483" s="27">
        <v>-33.97871383881462</v>
      </c>
      <c r="C483" s="16">
        <v>3.888350051885161</v>
      </c>
      <c r="D483" s="26">
        <v>22</v>
      </c>
      <c r="E483" s="22">
        <v>6.31023897709658E-2</v>
      </c>
      <c r="F483" s="13"/>
      <c r="G483" s="25">
        <v>467</v>
      </c>
      <c r="H483" s="14">
        <f t="shared" si="7"/>
        <v>375</v>
      </c>
    </row>
    <row r="484" spans="1:8">
      <c r="A484" s="15">
        <v>44360</v>
      </c>
      <c r="B484" s="27">
        <v>-36.46926859523942</v>
      </c>
      <c r="C484" s="16">
        <v>3.9080525769629886</v>
      </c>
      <c r="D484" s="26">
        <v>16</v>
      </c>
      <c r="E484" s="22">
        <v>6.6658390550423205E-2</v>
      </c>
      <c r="F484" s="13"/>
      <c r="G484" s="25">
        <v>302</v>
      </c>
      <c r="H484" s="14">
        <f t="shared" si="7"/>
        <v>383.57142857142856</v>
      </c>
    </row>
    <row r="485" spans="1:8">
      <c r="A485" s="15">
        <v>44361</v>
      </c>
      <c r="B485" s="27">
        <v>-35.717329677725388</v>
      </c>
      <c r="C485" s="16">
        <v>3.9259840885506749</v>
      </c>
      <c r="D485" s="26">
        <v>8</v>
      </c>
      <c r="E485" s="22">
        <v>6.9828585481755995E-2</v>
      </c>
      <c r="F485" s="13"/>
      <c r="G485" s="25">
        <v>208</v>
      </c>
      <c r="H485" s="14">
        <f t="shared" si="7"/>
        <v>385.85714285714283</v>
      </c>
    </row>
    <row r="486" spans="1:8">
      <c r="A486" s="15">
        <v>44362</v>
      </c>
      <c r="B486" s="27">
        <v>-34.792257187481923</v>
      </c>
      <c r="C486" s="16">
        <v>3.9421445866482188</v>
      </c>
      <c r="D486" s="26">
        <v>10</v>
      </c>
      <c r="E486" s="22">
        <v>7.3830857112269999E-2</v>
      </c>
      <c r="F486" s="13"/>
      <c r="G486" s="25">
        <v>337</v>
      </c>
      <c r="H486" s="14">
        <f t="shared" si="7"/>
        <v>388.42857142857144</v>
      </c>
    </row>
    <row r="487" spans="1:8">
      <c r="A487" s="15">
        <v>44363</v>
      </c>
      <c r="B487" s="27">
        <v>-37.142870077052486</v>
      </c>
      <c r="C487" s="16">
        <v>3.9565340712556214</v>
      </c>
      <c r="D487" s="26">
        <v>11</v>
      </c>
      <c r="E487" s="22">
        <v>7.8198717632978906E-2</v>
      </c>
      <c r="F487" s="13"/>
      <c r="G487" s="25">
        <v>500</v>
      </c>
      <c r="H487" s="14">
        <f t="shared" si="7"/>
        <v>377.14285714285717</v>
      </c>
    </row>
    <row r="488" spans="1:8">
      <c r="A488" s="15">
        <v>44364</v>
      </c>
      <c r="B488" s="27">
        <v>-35.568760168627605</v>
      </c>
      <c r="C488" s="16">
        <v>3.9691525423728815</v>
      </c>
      <c r="D488" s="26">
        <v>10</v>
      </c>
      <c r="E488" s="22">
        <v>8.2088371084729703E-2</v>
      </c>
      <c r="F488" s="13"/>
      <c r="G488" s="25">
        <v>452</v>
      </c>
      <c r="H488" s="14">
        <f t="shared" si="7"/>
        <v>387.57142857142856</v>
      </c>
    </row>
    <row r="489" spans="1:8">
      <c r="A489" s="15">
        <v>44365</v>
      </c>
      <c r="B489" s="27">
        <v>-36.905568254203729</v>
      </c>
      <c r="C489" s="16">
        <v>3.9800000000000004</v>
      </c>
      <c r="D489" s="26">
        <v>8</v>
      </c>
      <c r="E489" s="22">
        <v>8.6027413069707195E-2</v>
      </c>
      <c r="F489" s="13"/>
      <c r="G489" s="25">
        <v>453</v>
      </c>
      <c r="H489" s="14">
        <f t="shared" si="7"/>
        <v>391.57142857142856</v>
      </c>
    </row>
    <row r="490" spans="1:8">
      <c r="A490" s="15">
        <v>44366</v>
      </c>
      <c r="B490" s="27">
        <v>-33.997563237194903</v>
      </c>
      <c r="C490" s="16">
        <v>3.9926945693531648</v>
      </c>
      <c r="D490" s="26">
        <v>13</v>
      </c>
      <c r="E490" s="22">
        <v>8.9970790856323896E-2</v>
      </c>
      <c r="F490" s="13"/>
      <c r="G490" s="25">
        <v>388</v>
      </c>
      <c r="H490" s="14">
        <f t="shared" si="7"/>
        <v>405.71428571428572</v>
      </c>
    </row>
    <row r="491" spans="1:8">
      <c r="A491" s="15">
        <v>44367</v>
      </c>
      <c r="B491" s="27">
        <v>-32.564890891496461</v>
      </c>
      <c r="C491" s="16">
        <v>4.007236250432376</v>
      </c>
      <c r="D491" s="26">
        <v>16</v>
      </c>
      <c r="E491" s="22">
        <v>9.39065553988392E-2</v>
      </c>
      <c r="F491" s="13"/>
      <c r="G491" s="25">
        <v>375</v>
      </c>
      <c r="H491" s="14">
        <f t="shared" si="7"/>
        <v>422.85714285714283</v>
      </c>
    </row>
    <row r="492" spans="1:8">
      <c r="A492" s="15">
        <v>44368</v>
      </c>
      <c r="B492" s="27">
        <v>-31.138227918731864</v>
      </c>
      <c r="C492" s="16">
        <v>4.0236250432376339</v>
      </c>
      <c r="D492" s="26">
        <v>15</v>
      </c>
      <c r="E492" s="22">
        <v>9.7629133436246199E-2</v>
      </c>
      <c r="F492" s="13"/>
      <c r="G492" s="25">
        <v>236</v>
      </c>
      <c r="H492" s="14">
        <f t="shared" si="7"/>
        <v>439.71428571428572</v>
      </c>
    </row>
    <row r="493" spans="1:8">
      <c r="A493" s="15">
        <v>44369</v>
      </c>
      <c r="B493" s="27">
        <v>-31.263955573552384</v>
      </c>
      <c r="C493" s="16">
        <v>4.0418609477689378</v>
      </c>
      <c r="D493" s="26">
        <v>6</v>
      </c>
      <c r="E493" s="22">
        <v>0.101830703825441</v>
      </c>
      <c r="F493" s="13"/>
      <c r="G493" s="25">
        <v>436</v>
      </c>
      <c r="H493" s="14">
        <f t="shared" si="7"/>
        <v>455.42857142857144</v>
      </c>
    </row>
    <row r="494" spans="1:8">
      <c r="A494" s="15">
        <v>44370</v>
      </c>
      <c r="B494" s="27">
        <v>-33.554690478984597</v>
      </c>
      <c r="C494" s="16">
        <v>4.0619439640262884</v>
      </c>
      <c r="D494" s="26">
        <v>6</v>
      </c>
      <c r="E494" s="22">
        <v>0.106144011876457</v>
      </c>
      <c r="F494" s="13"/>
      <c r="G494" s="25">
        <v>620</v>
      </c>
      <c r="H494" s="14">
        <f t="shared" si="7"/>
        <v>476.42857142857144</v>
      </c>
    </row>
    <row r="495" spans="1:8">
      <c r="A495" s="15">
        <v>44371</v>
      </c>
      <c r="B495" s="27">
        <v>-32.29029557100548</v>
      </c>
      <c r="C495" s="16">
        <v>4.083874092009685</v>
      </c>
      <c r="D495" s="26">
        <v>12</v>
      </c>
      <c r="E495" s="22">
        <v>0.110112860972344</v>
      </c>
      <c r="F495" s="13"/>
      <c r="G495" s="25">
        <v>570</v>
      </c>
      <c r="H495" s="14">
        <f t="shared" si="7"/>
        <v>478</v>
      </c>
    </row>
    <row r="496" spans="1:8">
      <c r="A496" s="15">
        <v>44372</v>
      </c>
      <c r="B496" s="27">
        <v>-32.535758460650563</v>
      </c>
      <c r="C496" s="16">
        <v>4.1076513317191283</v>
      </c>
      <c r="D496" s="26">
        <v>15</v>
      </c>
      <c r="E496" s="22">
        <v>0.11449197303418999</v>
      </c>
      <c r="F496" s="13"/>
      <c r="G496" s="25">
        <v>563</v>
      </c>
      <c r="H496" s="14">
        <f t="shared" si="7"/>
        <v>489.57142857142856</v>
      </c>
    </row>
    <row r="497" spans="1:8">
      <c r="A497" s="15">
        <v>44373</v>
      </c>
      <c r="B497" s="27">
        <v>-26.132329801250069</v>
      </c>
      <c r="C497" s="16">
        <v>4.1317952265652025</v>
      </c>
      <c r="D497" s="26">
        <v>25</v>
      </c>
      <c r="E497" s="22">
        <v>0.11851467768854</v>
      </c>
      <c r="F497" s="13"/>
      <c r="G497" s="25">
        <v>535</v>
      </c>
      <c r="H497" s="14">
        <f t="shared" si="7"/>
        <v>495.28571428571428</v>
      </c>
    </row>
    <row r="498" spans="1:8">
      <c r="A498" s="15">
        <v>44374</v>
      </c>
      <c r="B498" s="27">
        <v>-31.385075784347954</v>
      </c>
      <c r="C498" s="16">
        <v>4.1563057765479074</v>
      </c>
      <c r="D498" s="26">
        <v>18</v>
      </c>
      <c r="E498" s="22">
        <v>0.12234940258950699</v>
      </c>
      <c r="F498" s="13"/>
      <c r="G498" s="25">
        <v>386</v>
      </c>
      <c r="H498" s="14">
        <f t="shared" si="7"/>
        <v>508.71428571428572</v>
      </c>
    </row>
    <row r="499" spans="1:8">
      <c r="A499" s="15">
        <v>44375</v>
      </c>
      <c r="B499" s="27">
        <v>-30.415773062118191</v>
      </c>
      <c r="C499" s="16">
        <v>4.1811829816672432</v>
      </c>
      <c r="D499" s="26">
        <v>10</v>
      </c>
      <c r="E499" s="22">
        <v>0.12633641500331499</v>
      </c>
      <c r="F499" s="13"/>
      <c r="G499" s="25">
        <v>317</v>
      </c>
      <c r="H499" s="14">
        <f t="shared" si="7"/>
        <v>523.57142857142856</v>
      </c>
    </row>
    <row r="500" spans="1:8">
      <c r="A500" s="15">
        <v>44376</v>
      </c>
      <c r="B500" s="27">
        <v>-31.712088563660558</v>
      </c>
      <c r="C500" s="16">
        <v>4.2064268419232098</v>
      </c>
      <c r="D500" s="26">
        <v>15</v>
      </c>
      <c r="E500" s="22">
        <v>0.13066930506486399</v>
      </c>
      <c r="F500" s="13"/>
      <c r="G500" s="25">
        <v>476</v>
      </c>
      <c r="H500" s="14">
        <f t="shared" si="7"/>
        <v>537.42857142857144</v>
      </c>
    </row>
    <row r="501" spans="1:8">
      <c r="A501" s="15">
        <v>44377</v>
      </c>
      <c r="B501" s="27">
        <v>-31.614431835870231</v>
      </c>
      <c r="C501" s="16">
        <v>4.2320373573158081</v>
      </c>
      <c r="D501" s="26">
        <v>14</v>
      </c>
      <c r="E501" s="22">
        <v>0.13495872470415099</v>
      </c>
      <c r="F501" s="13"/>
      <c r="G501" s="25">
        <v>714</v>
      </c>
      <c r="H501" s="14">
        <f t="shared" si="7"/>
        <v>563.14285714285711</v>
      </c>
    </row>
    <row r="502" spans="1:8">
      <c r="A502" s="15">
        <v>44378</v>
      </c>
      <c r="B502" s="27">
        <v>-33.118870366051482</v>
      </c>
      <c r="C502" s="16">
        <v>4.2580145278450372</v>
      </c>
      <c r="D502" s="26">
        <v>5</v>
      </c>
      <c r="E502" s="22">
        <v>0.13925006013468899</v>
      </c>
      <c r="F502" s="13"/>
      <c r="G502" s="25">
        <v>674</v>
      </c>
      <c r="H502" s="14">
        <f t="shared" si="7"/>
        <v>582</v>
      </c>
    </row>
    <row r="503" spans="1:8">
      <c r="A503" s="15">
        <v>44379</v>
      </c>
      <c r="B503" s="27">
        <v>-35.445234558454665</v>
      </c>
      <c r="C503" s="16">
        <v>4.2843583535108971</v>
      </c>
      <c r="D503" s="26">
        <v>9</v>
      </c>
      <c r="E503" s="22">
        <v>0.14386284581032299</v>
      </c>
      <c r="F503" s="13"/>
      <c r="G503" s="25">
        <v>660</v>
      </c>
      <c r="H503" s="14">
        <f t="shared" si="7"/>
        <v>585.57142857142856</v>
      </c>
    </row>
    <row r="504" spans="1:8">
      <c r="A504" s="15">
        <v>44380</v>
      </c>
      <c r="B504" s="27">
        <v>-30.021237769355167</v>
      </c>
      <c r="C504" s="16">
        <v>4.3131995849187144</v>
      </c>
      <c r="D504" s="26">
        <v>17</v>
      </c>
      <c r="E504" s="22">
        <v>0.148272742457499</v>
      </c>
      <c r="F504" s="13"/>
      <c r="G504" s="25">
        <v>715</v>
      </c>
      <c r="H504" s="14">
        <f t="shared" si="7"/>
        <v>602.14285714285711</v>
      </c>
    </row>
    <row r="505" spans="1:8">
      <c r="A505" s="15">
        <v>44381</v>
      </c>
      <c r="B505" s="27">
        <v>-33.721118181328372</v>
      </c>
      <c r="C505" s="16">
        <v>4.3445382220684889</v>
      </c>
      <c r="D505" s="26">
        <v>18</v>
      </c>
      <c r="E505" s="22">
        <v>0.15240720305994099</v>
      </c>
      <c r="F505" s="13"/>
      <c r="G505" s="25">
        <v>518</v>
      </c>
      <c r="H505" s="14">
        <f t="shared" si="7"/>
        <v>631.57142857142856</v>
      </c>
    </row>
    <row r="506" spans="1:8">
      <c r="A506" s="15">
        <v>44382</v>
      </c>
      <c r="B506" s="27">
        <v>-30.104464547529052</v>
      </c>
      <c r="C506" s="16">
        <v>4.3783742649602218</v>
      </c>
      <c r="D506" s="26">
        <v>8</v>
      </c>
      <c r="E506" s="22">
        <v>0.15782535031855399</v>
      </c>
      <c r="F506" s="13"/>
      <c r="G506" s="25">
        <v>342</v>
      </c>
      <c r="H506" s="14">
        <f t="shared" si="7"/>
        <v>663.28571428571433</v>
      </c>
    </row>
    <row r="507" spans="1:8">
      <c r="A507" s="15">
        <v>44383</v>
      </c>
      <c r="B507" s="27">
        <v>-30.089735061028517</v>
      </c>
      <c r="C507" s="16">
        <v>4.4147077135939119</v>
      </c>
      <c r="D507" s="26">
        <v>4</v>
      </c>
      <c r="E507" s="22">
        <v>0.16361833141022999</v>
      </c>
      <c r="F507" s="13"/>
      <c r="G507" s="25">
        <v>592</v>
      </c>
      <c r="H507" s="14">
        <f t="shared" si="7"/>
        <v>686.57142857142856</v>
      </c>
    </row>
    <row r="508" spans="1:8">
      <c r="A508" s="15">
        <v>44384</v>
      </c>
      <c r="B508" s="27">
        <v>-31.850077950913036</v>
      </c>
      <c r="C508" s="16">
        <v>4.4535385679695612</v>
      </c>
      <c r="D508" s="26">
        <v>10</v>
      </c>
      <c r="E508" s="22">
        <v>0.16940660112483399</v>
      </c>
      <c r="F508" s="13"/>
      <c r="G508" s="25">
        <v>920</v>
      </c>
      <c r="H508" s="14">
        <f t="shared" si="7"/>
        <v>720.28571428571433</v>
      </c>
    </row>
    <row r="509" spans="1:8">
      <c r="A509" s="15">
        <v>44385</v>
      </c>
      <c r="B509" s="27">
        <v>-33.121650935018451</v>
      </c>
      <c r="C509" s="16">
        <v>4.4948668280871669</v>
      </c>
      <c r="D509" s="26">
        <v>13</v>
      </c>
      <c r="E509" s="22">
        <v>0.17499872736536101</v>
      </c>
      <c r="F509" s="13"/>
      <c r="G509" s="25">
        <v>896</v>
      </c>
      <c r="H509" s="14">
        <f t="shared" si="7"/>
        <v>733.85714285714289</v>
      </c>
    </row>
    <row r="510" spans="1:8">
      <c r="A510" s="15">
        <v>44386</v>
      </c>
      <c r="B510" s="27">
        <v>-33.743116866385712</v>
      </c>
      <c r="C510" s="16">
        <v>4.5386924939467317</v>
      </c>
      <c r="D510" s="26">
        <v>20</v>
      </c>
      <c r="E510" s="22">
        <v>0.180864715947814</v>
      </c>
      <c r="F510" s="13"/>
      <c r="G510" s="25">
        <v>823</v>
      </c>
      <c r="H510" s="14">
        <f t="shared" si="7"/>
        <v>756.85714285714289</v>
      </c>
    </row>
    <row r="511" spans="1:8">
      <c r="A511" s="15">
        <v>44387</v>
      </c>
      <c r="B511" s="27">
        <v>-27.253029952981873</v>
      </c>
      <c r="C511" s="16">
        <v>4.583970944309927</v>
      </c>
      <c r="D511" s="26">
        <v>35</v>
      </c>
      <c r="E511" s="22">
        <v>0.186205744792827</v>
      </c>
      <c r="F511" s="13"/>
      <c r="G511" s="25">
        <v>951</v>
      </c>
      <c r="H511" s="14">
        <f t="shared" si="7"/>
        <v>790.71428571428567</v>
      </c>
    </row>
    <row r="512" spans="1:8">
      <c r="A512" s="15">
        <v>44388</v>
      </c>
      <c r="B512" s="27">
        <v>-30.553435527410443</v>
      </c>
      <c r="C512" s="16">
        <v>4.6307021791767555</v>
      </c>
      <c r="D512" s="26">
        <v>22</v>
      </c>
      <c r="E512" s="22">
        <v>0.19099340682948601</v>
      </c>
      <c r="F512" s="13"/>
      <c r="G512" s="25">
        <v>613</v>
      </c>
      <c r="H512" s="14">
        <f t="shared" si="7"/>
        <v>823.57142857142856</v>
      </c>
    </row>
    <row r="513" spans="1:8">
      <c r="A513" s="15">
        <v>44389</v>
      </c>
      <c r="B513" s="27">
        <v>-32.942612238131112</v>
      </c>
      <c r="C513" s="16">
        <v>4.6788861985472154</v>
      </c>
      <c r="D513" s="26">
        <v>10</v>
      </c>
      <c r="E513" s="22">
        <v>0.19674260196786</v>
      </c>
      <c r="F513" s="13"/>
      <c r="G513" s="25">
        <v>503</v>
      </c>
      <c r="H513" s="14">
        <f t="shared" si="7"/>
        <v>882.57142857142856</v>
      </c>
    </row>
    <row r="514" spans="1:8">
      <c r="A514" s="15">
        <v>44390</v>
      </c>
      <c r="B514" s="27">
        <v>-32.981720367906519</v>
      </c>
      <c r="C514" s="16">
        <v>4.7285230024213076</v>
      </c>
      <c r="D514" s="26">
        <v>10</v>
      </c>
      <c r="E514" s="22">
        <v>0.20302070115195101</v>
      </c>
      <c r="F514" s="13"/>
      <c r="G514" s="25">
        <v>829</v>
      </c>
      <c r="H514" s="14">
        <f t="shared" si="7"/>
        <v>946.71428571428567</v>
      </c>
    </row>
    <row r="515" spans="1:8">
      <c r="A515" s="15">
        <v>44391</v>
      </c>
      <c r="B515" s="27">
        <v>-35.169634210508903</v>
      </c>
      <c r="C515" s="16">
        <v>4.7796125907990312</v>
      </c>
      <c r="D515" s="26">
        <v>4</v>
      </c>
      <c r="E515" s="22">
        <v>0.20972883860831801</v>
      </c>
      <c r="F515" s="13"/>
      <c r="G515" s="25">
        <v>1150</v>
      </c>
      <c r="H515" s="14">
        <f t="shared" si="7"/>
        <v>1012.4285714285714</v>
      </c>
    </row>
    <row r="516" spans="1:8">
      <c r="A516" s="15">
        <v>44392</v>
      </c>
      <c r="B516" s="27">
        <v>-33.828193509526407</v>
      </c>
      <c r="C516" s="16">
        <v>4.832154963680388</v>
      </c>
      <c r="D516" s="26">
        <v>11</v>
      </c>
      <c r="E516" s="22">
        <v>0.21581622824559399</v>
      </c>
      <c r="F516" s="13"/>
      <c r="G516" s="25">
        <v>1309</v>
      </c>
      <c r="H516" s="14">
        <f t="shared" si="7"/>
        <v>1068.8571428571429</v>
      </c>
    </row>
    <row r="517" spans="1:8">
      <c r="A517" s="15">
        <v>44393</v>
      </c>
      <c r="B517" s="27">
        <v>-35.304465000855615</v>
      </c>
      <c r="C517" s="16">
        <v>4.8861501210653753</v>
      </c>
      <c r="D517" s="26">
        <v>16</v>
      </c>
      <c r="E517" s="22">
        <v>0.22206067045516401</v>
      </c>
      <c r="F517" s="13"/>
      <c r="G517" s="25">
        <v>1272</v>
      </c>
      <c r="H517" s="14">
        <f t="shared" si="7"/>
        <v>1100.8571428571429</v>
      </c>
    </row>
    <row r="518" spans="1:8">
      <c r="A518" s="15">
        <v>44394</v>
      </c>
      <c r="B518" s="27">
        <v>-31.371643011907512</v>
      </c>
      <c r="C518" s="16">
        <v>4.9359114493254932</v>
      </c>
      <c r="D518" s="26">
        <v>20</v>
      </c>
      <c r="E518" s="22">
        <v>0.227737030919369</v>
      </c>
      <c r="F518" s="13"/>
      <c r="G518" s="25">
        <v>1411</v>
      </c>
      <c r="H518" s="14">
        <f t="shared" si="7"/>
        <v>1181.1428571428571</v>
      </c>
    </row>
    <row r="519" spans="1:8">
      <c r="A519" s="15">
        <v>44395</v>
      </c>
      <c r="B519" s="27">
        <v>-33.60309424648166</v>
      </c>
      <c r="C519" s="16">
        <v>4.9814389484607409</v>
      </c>
      <c r="D519" s="26">
        <v>20</v>
      </c>
      <c r="E519" s="22">
        <v>0.23189561115888799</v>
      </c>
      <c r="F519" s="13"/>
      <c r="G519" s="25">
        <v>1008</v>
      </c>
      <c r="H519" s="14">
        <f t="shared" si="7"/>
        <v>1279.5714285714287</v>
      </c>
    </row>
    <row r="520" spans="1:8">
      <c r="A520" s="15">
        <v>44396</v>
      </c>
      <c r="B520" s="27">
        <v>-32.773647487749422</v>
      </c>
      <c r="C520" s="16">
        <v>5.0227326184711174</v>
      </c>
      <c r="D520" s="26">
        <v>12</v>
      </c>
      <c r="E520" s="22">
        <v>0.239311576216344</v>
      </c>
      <c r="F520" s="13"/>
      <c r="G520" s="25">
        <v>727</v>
      </c>
      <c r="H520" s="14">
        <f t="shared" si="7"/>
        <v>1376</v>
      </c>
    </row>
    <row r="521" spans="1:8">
      <c r="A521" s="15">
        <v>44397</v>
      </c>
      <c r="B521" s="27">
        <v>-31.69035980794817</v>
      </c>
      <c r="C521" s="16">
        <v>5.0597924593566246</v>
      </c>
      <c r="D521" s="26">
        <v>9</v>
      </c>
      <c r="E521" s="22">
        <v>0.24736345733746501</v>
      </c>
      <c r="F521" s="13"/>
      <c r="G521" s="25">
        <v>1391</v>
      </c>
      <c r="H521" s="14">
        <f t="shared" si="7"/>
        <v>1389.5714285714287</v>
      </c>
    </row>
    <row r="522" spans="1:8">
      <c r="A522" s="15">
        <v>44398</v>
      </c>
      <c r="B522" s="27">
        <v>-30.940018017334108</v>
      </c>
      <c r="C522" s="16">
        <v>5.0926184711172606</v>
      </c>
      <c r="D522" s="26">
        <v>11</v>
      </c>
      <c r="E522" s="22">
        <v>0.25543307964951401</v>
      </c>
      <c r="F522" s="13"/>
      <c r="G522" s="25">
        <v>1839</v>
      </c>
      <c r="H522" s="14">
        <f t="shared" si="7"/>
        <v>1352</v>
      </c>
    </row>
    <row r="523" spans="1:8">
      <c r="A523" s="15">
        <v>44399</v>
      </c>
      <c r="B523" s="27">
        <v>-43.481564306392286</v>
      </c>
      <c r="C523" s="16">
        <v>5.1212106537530264</v>
      </c>
      <c r="D523" s="26">
        <v>19</v>
      </c>
      <c r="E523" s="22">
        <v>0.26365420101314802</v>
      </c>
      <c r="F523" s="13"/>
      <c r="G523" s="25">
        <v>1984</v>
      </c>
      <c r="H523" s="14">
        <f t="shared" si="7"/>
        <v>1463</v>
      </c>
    </row>
    <row r="524" spans="1:8">
      <c r="A524" s="15">
        <v>44400</v>
      </c>
      <c r="B524" s="27">
        <v>-48.768632365351493</v>
      </c>
      <c r="C524" s="16">
        <v>5.1455690072639229</v>
      </c>
      <c r="D524" s="26">
        <v>15</v>
      </c>
      <c r="E524" s="22">
        <v>0.27217802375116101</v>
      </c>
      <c r="F524" s="13"/>
      <c r="G524" s="25">
        <v>1367</v>
      </c>
      <c r="H524" s="14">
        <f t="shared" si="7"/>
        <v>1566.1428571428571</v>
      </c>
    </row>
    <row r="525" spans="1:8">
      <c r="A525" s="15">
        <v>44401</v>
      </c>
      <c r="B525" s="27">
        <v>-39.170493783991354</v>
      </c>
      <c r="C525" s="16">
        <v>5.168875821515047</v>
      </c>
      <c r="D525" s="26">
        <v>23</v>
      </c>
      <c r="E525" s="22">
        <v>0.279591725464714</v>
      </c>
      <c r="F525" s="13"/>
      <c r="G525" s="25">
        <v>1148</v>
      </c>
      <c r="H525" s="14">
        <f t="shared" si="7"/>
        <v>1780.1428571428571</v>
      </c>
    </row>
    <row r="526" spans="1:8">
      <c r="A526" s="15">
        <v>44402</v>
      </c>
      <c r="B526" s="27">
        <v>-39.125401067136615</v>
      </c>
      <c r="C526" s="16">
        <v>5.1911310965063988</v>
      </c>
      <c r="D526" s="26">
        <v>14</v>
      </c>
      <c r="E526" s="22">
        <v>0.28580407819019299</v>
      </c>
      <c r="F526" s="13"/>
      <c r="G526" s="25">
        <v>1785</v>
      </c>
      <c r="H526" s="14">
        <f t="shared" si="7"/>
        <v>1979.4285714285713</v>
      </c>
    </row>
    <row r="527" spans="1:8">
      <c r="A527" s="15">
        <v>44403</v>
      </c>
      <c r="B527" s="27">
        <v>-33.239496487234888</v>
      </c>
      <c r="C527" s="16">
        <v>5.2123348322379792</v>
      </c>
      <c r="D527" s="26">
        <v>4</v>
      </c>
      <c r="E527" s="22">
        <v>0.29273998587024402</v>
      </c>
      <c r="F527" s="13"/>
      <c r="G527" s="25">
        <v>1449</v>
      </c>
      <c r="H527" s="14">
        <f t="shared" si="7"/>
        <v>2256</v>
      </c>
    </row>
    <row r="528" spans="1:8">
      <c r="A528" s="15">
        <v>44404</v>
      </c>
      <c r="B528" s="27">
        <v>-38.195211719789434</v>
      </c>
      <c r="C528" s="16">
        <v>5.2324870287097891</v>
      </c>
      <c r="D528" s="26">
        <v>10</v>
      </c>
      <c r="E528" s="22">
        <v>0.300332305066009</v>
      </c>
      <c r="F528" s="13"/>
      <c r="G528" s="25">
        <v>2889</v>
      </c>
      <c r="H528" s="14">
        <f t="shared" si="7"/>
        <v>2544.4285714285716</v>
      </c>
    </row>
    <row r="529" spans="1:8">
      <c r="A529" s="15">
        <v>44405</v>
      </c>
      <c r="B529" s="27">
        <v>-36.445020491496436</v>
      </c>
      <c r="C529" s="16">
        <v>5.2515876859218267</v>
      </c>
      <c r="D529" s="26">
        <v>7</v>
      </c>
      <c r="E529" s="22">
        <v>0.30804697190249503</v>
      </c>
      <c r="F529" s="13"/>
      <c r="G529" s="25">
        <v>3234</v>
      </c>
      <c r="H529" s="14">
        <f t="shared" si="7"/>
        <v>2972.2857142857142</v>
      </c>
    </row>
    <row r="530" spans="1:8">
      <c r="A530" s="15">
        <v>44406</v>
      </c>
      <c r="B530" s="27">
        <v>-37.46451733319801</v>
      </c>
      <c r="C530" s="16">
        <v>5.2696368038740911</v>
      </c>
      <c r="D530" s="26">
        <v>10</v>
      </c>
      <c r="E530" s="22">
        <v>0.315526008086639</v>
      </c>
      <c r="F530" s="13"/>
      <c r="G530" s="25">
        <v>3920</v>
      </c>
      <c r="H530" s="14">
        <f t="shared" si="7"/>
        <v>3165</v>
      </c>
    </row>
    <row r="531" spans="1:8">
      <c r="A531" s="15">
        <v>44407</v>
      </c>
      <c r="B531" s="27">
        <v>-39.865079845325916</v>
      </c>
      <c r="C531" s="16">
        <v>5.2866343825665849</v>
      </c>
      <c r="D531" s="26">
        <v>5</v>
      </c>
      <c r="E531" s="22">
        <v>0.32328248489114902</v>
      </c>
      <c r="F531" s="13"/>
      <c r="G531" s="25">
        <v>3386</v>
      </c>
      <c r="H531" s="14">
        <f t="shared" si="7"/>
        <v>3284</v>
      </c>
    </row>
    <row r="532" spans="1:8">
      <c r="A532" s="15">
        <v>44408</v>
      </c>
      <c r="B532" s="27">
        <v>-39.148171101023408</v>
      </c>
      <c r="C532" s="16">
        <v>5.3017502594258037</v>
      </c>
      <c r="D532" s="26">
        <v>40</v>
      </c>
      <c r="E532" s="22">
        <v>0.32986716005438899</v>
      </c>
      <c r="F532" s="13"/>
      <c r="G532" s="25">
        <v>4143</v>
      </c>
      <c r="H532" s="14">
        <f t="shared" si="7"/>
        <v>3413.8571428571427</v>
      </c>
    </row>
    <row r="533" spans="1:8">
      <c r="A533" s="15">
        <v>44409</v>
      </c>
      <c r="B533" s="27">
        <v>-41.486219157125831</v>
      </c>
      <c r="C533" s="16">
        <v>5.3149844344517465</v>
      </c>
      <c r="D533" s="26">
        <v>16</v>
      </c>
      <c r="E533" s="22">
        <v>0.335763104638445</v>
      </c>
      <c r="F533" s="13"/>
      <c r="G533" s="25">
        <v>3134</v>
      </c>
      <c r="H533" s="14">
        <f t="shared" ref="H533:H596" si="8">SUM(G530:G536)/7</f>
        <v>3568.4285714285716</v>
      </c>
    </row>
    <row r="534" spans="1:8">
      <c r="A534" s="15">
        <v>44410</v>
      </c>
      <c r="B534" s="27">
        <v>-35.871651059854855</v>
      </c>
      <c r="C534" s="16">
        <v>5.3263369076444134</v>
      </c>
      <c r="D534" s="26">
        <v>5</v>
      </c>
      <c r="E534" s="22">
        <v>0.34141929353016998</v>
      </c>
      <c r="F534" s="13"/>
      <c r="G534" s="25">
        <v>2282</v>
      </c>
      <c r="H534" s="14">
        <f t="shared" si="8"/>
        <v>3743.8571428571427</v>
      </c>
    </row>
    <row r="535" spans="1:8">
      <c r="A535" s="15">
        <v>44411</v>
      </c>
      <c r="B535" s="27">
        <v>-37.039212992422051</v>
      </c>
      <c r="C535" s="16">
        <v>5.3358076790038051</v>
      </c>
      <c r="D535" s="26">
        <v>5</v>
      </c>
      <c r="E535" s="22">
        <v>0.34826490207975602</v>
      </c>
      <c r="F535" s="13"/>
      <c r="G535" s="25">
        <v>3798</v>
      </c>
      <c r="H535" s="14">
        <f t="shared" si="8"/>
        <v>3929.8571428571427</v>
      </c>
    </row>
    <row r="536" spans="1:8">
      <c r="A536" s="15">
        <v>44412</v>
      </c>
      <c r="B536" s="27">
        <v>-39.989288496381384</v>
      </c>
      <c r="C536" s="16">
        <v>5.3433967485299201</v>
      </c>
      <c r="D536" s="26">
        <v>9</v>
      </c>
      <c r="E536" s="22">
        <v>0.35537829756432499</v>
      </c>
      <c r="F536" s="13"/>
      <c r="G536" s="25">
        <v>4316</v>
      </c>
      <c r="H536" s="14">
        <f t="shared" si="8"/>
        <v>4002.5714285714284</v>
      </c>
    </row>
    <row r="537" spans="1:8">
      <c r="A537" s="15">
        <v>44413</v>
      </c>
      <c r="B537" s="27">
        <v>-39.717091010455285</v>
      </c>
      <c r="C537" s="16">
        <v>5.3491041162227599</v>
      </c>
      <c r="D537" s="26">
        <v>7</v>
      </c>
      <c r="E537" s="22">
        <v>0.35938710827534898</v>
      </c>
      <c r="F537" s="13"/>
      <c r="G537" s="25">
        <v>5148</v>
      </c>
      <c r="H537" s="14">
        <f t="shared" si="8"/>
        <v>4146.1428571428569</v>
      </c>
    </row>
    <row r="538" spans="1:8">
      <c r="A538" s="15">
        <v>44414</v>
      </c>
      <c r="B538" s="27">
        <v>-42.784022996807231</v>
      </c>
      <c r="C538" s="16">
        <v>5.3529297820823247</v>
      </c>
      <c r="D538" s="26">
        <v>5</v>
      </c>
      <c r="E538" s="22">
        <v>0.36301796964547201</v>
      </c>
      <c r="F538" s="13"/>
      <c r="G538" s="25">
        <v>4688</v>
      </c>
      <c r="H538" s="14">
        <f t="shared" si="8"/>
        <v>4244.7142857142853</v>
      </c>
    </row>
    <row r="539" spans="1:8">
      <c r="A539" s="15">
        <v>44415</v>
      </c>
      <c r="B539" s="27">
        <v>-45.307280316701117</v>
      </c>
      <c r="C539" s="16">
        <v>5.3559806295399506</v>
      </c>
      <c r="D539" s="26">
        <v>8</v>
      </c>
      <c r="E539" s="22">
        <v>0.368235288151117</v>
      </c>
      <c r="F539" s="13"/>
      <c r="G539" s="25">
        <v>4652</v>
      </c>
      <c r="H539" s="14">
        <f t="shared" si="8"/>
        <v>4098.5714285714284</v>
      </c>
    </row>
    <row r="540" spans="1:8">
      <c r="A540" s="15">
        <v>44416</v>
      </c>
      <c r="B540" s="27">
        <v>-47.663639422030599</v>
      </c>
      <c r="C540" s="16">
        <v>5.358256658595641</v>
      </c>
      <c r="D540" s="26">
        <v>14</v>
      </c>
      <c r="E540" s="22">
        <v>0.373279834800883</v>
      </c>
      <c r="F540" s="13"/>
      <c r="G540" s="25">
        <v>4139</v>
      </c>
      <c r="H540" s="14">
        <f t="shared" si="8"/>
        <v>4114</v>
      </c>
    </row>
    <row r="541" spans="1:8">
      <c r="A541" s="15">
        <v>44417</v>
      </c>
      <c r="B541" s="27">
        <v>-53.324574091609058</v>
      </c>
      <c r="C541" s="16">
        <v>5.3597578692493943</v>
      </c>
      <c r="D541" s="26">
        <v>14</v>
      </c>
      <c r="E541" s="22">
        <v>0.37887242038591801</v>
      </c>
      <c r="F541" s="13"/>
      <c r="G541" s="25">
        <v>2972</v>
      </c>
      <c r="H541" s="14">
        <f t="shared" si="8"/>
        <v>4111.8571428571431</v>
      </c>
    </row>
    <row r="542" spans="1:8">
      <c r="A542" s="15">
        <v>44418</v>
      </c>
      <c r="B542" s="27">
        <v>-41.344941285358935</v>
      </c>
      <c r="C542" s="16">
        <v>5.3604842615012114</v>
      </c>
      <c r="D542" s="26">
        <v>11</v>
      </c>
      <c r="E542" s="22">
        <v>0.38439978793602098</v>
      </c>
      <c r="F542" s="13"/>
      <c r="G542" s="25">
        <v>2775</v>
      </c>
      <c r="H542" s="14">
        <f t="shared" si="8"/>
        <v>4286.1428571428569</v>
      </c>
    </row>
    <row r="543" spans="1:8">
      <c r="A543" s="15">
        <v>44419</v>
      </c>
      <c r="B543" s="27">
        <v>-44.589802690342481</v>
      </c>
      <c r="C543" s="16">
        <v>5.3604358353510895</v>
      </c>
      <c r="D543" s="26">
        <v>2</v>
      </c>
      <c r="E543" s="22">
        <v>0.39014532743017</v>
      </c>
      <c r="F543" s="13"/>
      <c r="G543" s="25">
        <v>4424</v>
      </c>
      <c r="H543" s="14">
        <f t="shared" si="8"/>
        <v>4371.4285714285716</v>
      </c>
    </row>
    <row r="544" spans="1:8">
      <c r="A544" s="15">
        <v>44420</v>
      </c>
      <c r="B544" s="27">
        <v>-47.258306862896056</v>
      </c>
      <c r="C544" s="16">
        <v>5.3596125907990313</v>
      </c>
      <c r="D544" s="26">
        <v>13</v>
      </c>
      <c r="E544" s="22">
        <v>0.39584451249819602</v>
      </c>
      <c r="F544" s="13"/>
      <c r="G544" s="25">
        <v>5133</v>
      </c>
      <c r="H544" s="14">
        <f t="shared" si="8"/>
        <v>4402.7142857142853</v>
      </c>
    </row>
    <row r="545" spans="1:8">
      <c r="A545" s="15">
        <v>44421</v>
      </c>
      <c r="B545" s="27">
        <v>-51.430891484141213</v>
      </c>
      <c r="C545" s="16">
        <v>5.358014527845036</v>
      </c>
      <c r="D545" s="26">
        <v>13</v>
      </c>
      <c r="E545" s="22">
        <v>0.40169166819834801</v>
      </c>
      <c r="F545" s="13"/>
      <c r="G545" s="25">
        <v>5908</v>
      </c>
      <c r="H545" s="14">
        <f t="shared" si="8"/>
        <v>4423.7142857142853</v>
      </c>
    </row>
    <row r="546" spans="1:8">
      <c r="A546" s="15">
        <v>44422</v>
      </c>
      <c r="B546" s="27">
        <v>-50.348030920818474</v>
      </c>
      <c r="C546" s="16">
        <v>5.3570460048426147</v>
      </c>
      <c r="D546" s="26">
        <v>13</v>
      </c>
      <c r="E546" s="22">
        <v>0.40673495860094599</v>
      </c>
      <c r="F546" s="13"/>
      <c r="G546" s="25">
        <v>5249</v>
      </c>
      <c r="H546" s="14">
        <f t="shared" si="8"/>
        <v>4675</v>
      </c>
    </row>
    <row r="547" spans="1:8">
      <c r="A547" s="15">
        <v>44423</v>
      </c>
      <c r="B547" s="27">
        <v>-51.006661012944029</v>
      </c>
      <c r="C547" s="16">
        <v>5.3567070217917676</v>
      </c>
      <c r="D547" s="26">
        <v>13</v>
      </c>
      <c r="E547" s="22">
        <v>0.41179445081970001</v>
      </c>
      <c r="F547" s="13"/>
      <c r="G547" s="25">
        <v>4358</v>
      </c>
      <c r="H547" s="14">
        <f t="shared" si="8"/>
        <v>4838.2857142857147</v>
      </c>
    </row>
    <row r="548" spans="1:8">
      <c r="A548" s="15">
        <v>44424</v>
      </c>
      <c r="B548" s="27">
        <v>-43.390418124765148</v>
      </c>
      <c r="C548" s="16">
        <v>5.3569975786924937</v>
      </c>
      <c r="D548" s="26">
        <v>12</v>
      </c>
      <c r="E548" s="22">
        <v>0.41682447095224401</v>
      </c>
      <c r="F548" s="13"/>
      <c r="G548" s="25">
        <v>3119</v>
      </c>
      <c r="H548" s="14">
        <f t="shared" si="8"/>
        <v>4923.4285714285716</v>
      </c>
    </row>
    <row r="549" spans="1:8">
      <c r="A549" s="15">
        <v>44425</v>
      </c>
      <c r="B549" s="27">
        <v>-41.67669346908081</v>
      </c>
      <c r="C549" s="16">
        <v>5.3579176755447948</v>
      </c>
      <c r="D549" s="26">
        <v>6</v>
      </c>
      <c r="E549" s="22">
        <v>0.42202272236788402</v>
      </c>
      <c r="F549" s="13"/>
      <c r="G549" s="25">
        <v>4534</v>
      </c>
      <c r="H549" s="14">
        <f t="shared" si="8"/>
        <v>4869.2857142857147</v>
      </c>
    </row>
    <row r="550" spans="1:8">
      <c r="A550" s="15">
        <v>44426</v>
      </c>
      <c r="B550" s="27">
        <v>-44.650289952324059</v>
      </c>
      <c r="C550" s="16">
        <v>5.3594673123486691</v>
      </c>
      <c r="D550" s="26">
        <v>8</v>
      </c>
      <c r="E550" s="22">
        <v>0.42706304368180298</v>
      </c>
      <c r="F550" s="13"/>
      <c r="G550" s="25">
        <v>5567</v>
      </c>
      <c r="H550" s="14">
        <f t="shared" si="8"/>
        <v>4869</v>
      </c>
    </row>
    <row r="551" spans="1:8">
      <c r="A551" s="15">
        <v>44427</v>
      </c>
      <c r="B551" s="27">
        <v>-42.559145308710931</v>
      </c>
      <c r="C551" s="16">
        <v>5.3616464891041167</v>
      </c>
      <c r="D551" s="26">
        <v>8</v>
      </c>
      <c r="E551" s="22">
        <v>0.43189479962824301</v>
      </c>
      <c r="F551" s="13"/>
      <c r="G551" s="25">
        <v>5729</v>
      </c>
      <c r="H551" s="14">
        <f t="shared" si="8"/>
        <v>4881.8571428571431</v>
      </c>
    </row>
    <row r="552" spans="1:8">
      <c r="A552" s="15">
        <v>44428</v>
      </c>
      <c r="B552" s="27">
        <v>-44.333333983989945</v>
      </c>
      <c r="C552" s="16">
        <v>5.3644552058111383</v>
      </c>
      <c r="D552" s="26">
        <v>9</v>
      </c>
      <c r="E552" s="22">
        <v>0.436524406536482</v>
      </c>
      <c r="F552" s="13"/>
      <c r="G552" s="25">
        <v>5529</v>
      </c>
      <c r="H552" s="14">
        <f t="shared" si="8"/>
        <v>4798.5714285714284</v>
      </c>
    </row>
    <row r="553" spans="1:8">
      <c r="A553" s="15">
        <v>44429</v>
      </c>
      <c r="B553" s="27">
        <v>-44.587217688306666</v>
      </c>
      <c r="C553" s="16">
        <v>5.3670702179176741</v>
      </c>
      <c r="D553" s="26">
        <v>13</v>
      </c>
      <c r="E553" s="22">
        <v>0.44128442445351901</v>
      </c>
      <c r="F553" s="13"/>
      <c r="G553" s="25">
        <v>5247</v>
      </c>
      <c r="H553" s="14">
        <f t="shared" si="8"/>
        <v>4769.1428571428569</v>
      </c>
    </row>
    <row r="554" spans="1:8">
      <c r="A554" s="15">
        <v>44430</v>
      </c>
      <c r="B554" s="27">
        <v>-45.833589645796678</v>
      </c>
      <c r="C554" s="16">
        <v>5.3694915254237285</v>
      </c>
      <c r="D554" s="26">
        <v>12</v>
      </c>
      <c r="E554" s="22">
        <v>0.44571294621402102</v>
      </c>
      <c r="F554" s="13"/>
      <c r="G554" s="25">
        <v>4448</v>
      </c>
      <c r="H554" s="14">
        <f t="shared" si="8"/>
        <v>4593</v>
      </c>
    </row>
    <row r="555" spans="1:8">
      <c r="A555" s="15">
        <v>44431</v>
      </c>
      <c r="B555" s="27">
        <v>-40.829727571271391</v>
      </c>
      <c r="C555" s="16">
        <v>5.3717191283292989</v>
      </c>
      <c r="D555" s="26">
        <v>9</v>
      </c>
      <c r="E555" s="22">
        <v>0.44818904134774401</v>
      </c>
      <c r="F555" s="13"/>
      <c r="G555" s="25">
        <v>2536</v>
      </c>
      <c r="H555" s="14">
        <f t="shared" si="8"/>
        <v>4457.8571428571431</v>
      </c>
    </row>
    <row r="556" spans="1:8">
      <c r="A556" s="15">
        <v>44432</v>
      </c>
      <c r="B556" s="27">
        <v>-39.71984005321918</v>
      </c>
      <c r="C556" s="16">
        <v>5.3737530266343834</v>
      </c>
      <c r="D556" s="26">
        <v>7</v>
      </c>
      <c r="E556" s="22">
        <v>0.45213584998748602</v>
      </c>
      <c r="F556" s="13"/>
      <c r="G556" s="25">
        <v>4328</v>
      </c>
      <c r="H556" s="14">
        <f t="shared" si="8"/>
        <v>4289.4285714285716</v>
      </c>
    </row>
    <row r="557" spans="1:8">
      <c r="A557" s="15">
        <v>44433</v>
      </c>
      <c r="B557" s="27">
        <v>-41.941386902923341</v>
      </c>
      <c r="C557" s="16">
        <v>5.3755932203389838</v>
      </c>
      <c r="D557" s="26">
        <v>5</v>
      </c>
      <c r="E557" s="22">
        <v>0.456181129790797</v>
      </c>
      <c r="F557" s="13"/>
      <c r="G557" s="25">
        <v>4334</v>
      </c>
      <c r="H557" s="14">
        <f t="shared" si="8"/>
        <v>4067.1428571428573</v>
      </c>
    </row>
    <row r="558" spans="1:8">
      <c r="A558" s="15">
        <v>44434</v>
      </c>
      <c r="B558" s="27">
        <v>-41.599640472432569</v>
      </c>
      <c r="C558" s="16">
        <v>5.3772397094430984</v>
      </c>
      <c r="D558" s="26">
        <v>6</v>
      </c>
      <c r="E558" s="22">
        <v>0.46008565907190901</v>
      </c>
      <c r="F558" s="13"/>
      <c r="G558" s="25">
        <v>4783</v>
      </c>
      <c r="H558" s="14">
        <f t="shared" si="8"/>
        <v>3878</v>
      </c>
    </row>
    <row r="559" spans="1:8">
      <c r="A559" s="15">
        <v>44435</v>
      </c>
      <c r="B559" s="27">
        <v>-43.603264734606931</v>
      </c>
      <c r="C559" s="16">
        <v>5.3786924939467315</v>
      </c>
      <c r="D559" s="26">
        <v>4</v>
      </c>
      <c r="E559" s="22">
        <v>0.46368654299637202</v>
      </c>
      <c r="F559" s="13"/>
      <c r="G559" s="25">
        <v>4350</v>
      </c>
      <c r="H559" s="14">
        <f t="shared" si="8"/>
        <v>3797</v>
      </c>
    </row>
    <row r="560" spans="1:8">
      <c r="A560" s="15">
        <v>44436</v>
      </c>
      <c r="B560" s="27">
        <v>-42.658100792377198</v>
      </c>
      <c r="C560" s="16">
        <v>5.3800207540643372</v>
      </c>
      <c r="D560" s="26">
        <v>5</v>
      </c>
      <c r="E560" s="22">
        <v>0.46752280079658298</v>
      </c>
      <c r="F560" s="13"/>
      <c r="G560" s="25">
        <v>3691</v>
      </c>
      <c r="H560" s="14">
        <f t="shared" si="8"/>
        <v>3596.7142857142858</v>
      </c>
    </row>
    <row r="561" spans="1:8">
      <c r="A561" s="15">
        <v>44437</v>
      </c>
      <c r="B561" s="27">
        <v>-43.729522401850716</v>
      </c>
      <c r="C561" s="16">
        <v>5.3812244897959189</v>
      </c>
      <c r="D561" s="26">
        <v>12</v>
      </c>
      <c r="E561" s="22">
        <v>0.47172418195590299</v>
      </c>
      <c r="F561" s="13"/>
      <c r="G561" s="25">
        <v>3124</v>
      </c>
      <c r="H561" s="14">
        <f t="shared" si="8"/>
        <v>3431.2857142857142</v>
      </c>
    </row>
    <row r="562" spans="1:8">
      <c r="A562" s="15">
        <v>44438</v>
      </c>
      <c r="B562" s="27">
        <v>-38.602876600226189</v>
      </c>
      <c r="C562" s="16">
        <v>5.3823037011414732</v>
      </c>
      <c r="D562" s="26">
        <v>11</v>
      </c>
      <c r="E562" s="22">
        <v>0.47522751620241399</v>
      </c>
      <c r="F562" s="13"/>
      <c r="G562" s="25">
        <v>1969</v>
      </c>
      <c r="H562" s="14">
        <f t="shared" si="8"/>
        <v>3190.4285714285716</v>
      </c>
    </row>
    <row r="563" spans="1:8">
      <c r="A563" s="15">
        <v>44439</v>
      </c>
      <c r="B563" s="27">
        <v>-38.627942962920116</v>
      </c>
      <c r="C563" s="16">
        <v>5.3832583881010025</v>
      </c>
      <c r="D563" s="26">
        <v>5</v>
      </c>
      <c r="E563" s="22">
        <v>0.47905862701604701</v>
      </c>
      <c r="F563" s="13"/>
      <c r="G563" s="25">
        <v>2926</v>
      </c>
      <c r="H563" s="14">
        <f t="shared" si="8"/>
        <v>2931</v>
      </c>
    </row>
    <row r="564" spans="1:8">
      <c r="A564" s="15">
        <v>44440</v>
      </c>
      <c r="B564" s="27">
        <v>-40.936156165086693</v>
      </c>
      <c r="C564" s="16">
        <v>5.3840885506745071</v>
      </c>
      <c r="D564" s="26">
        <v>7</v>
      </c>
      <c r="E564" s="22">
        <v>0.48322147782207098</v>
      </c>
      <c r="F564" s="13"/>
      <c r="G564" s="25">
        <v>3176</v>
      </c>
      <c r="H564" s="14">
        <f t="shared" si="8"/>
        <v>2742.2857142857142</v>
      </c>
    </row>
    <row r="565" spans="1:8">
      <c r="A565" s="15">
        <v>44441</v>
      </c>
      <c r="B565" s="27">
        <v>-41.840194445187862</v>
      </c>
      <c r="C565" s="16">
        <v>5.3847941888619859</v>
      </c>
      <c r="D565" s="26">
        <v>4</v>
      </c>
      <c r="E565" s="22">
        <v>0.48744479062803497</v>
      </c>
      <c r="F565" s="13"/>
      <c r="G565" s="25">
        <v>3097</v>
      </c>
      <c r="H565" s="14">
        <f t="shared" si="8"/>
        <v>2560.8571428571427</v>
      </c>
    </row>
    <row r="566" spans="1:8">
      <c r="A566" s="15">
        <v>44442</v>
      </c>
      <c r="B566" s="27">
        <v>-43.2780340280394</v>
      </c>
      <c r="C566" s="16">
        <v>5.3853753026634381</v>
      </c>
      <c r="D566" s="26">
        <v>10</v>
      </c>
      <c r="E566" s="22">
        <v>0.49172555849308802</v>
      </c>
      <c r="F566" s="13"/>
      <c r="G566" s="25">
        <v>2534</v>
      </c>
      <c r="H566" s="14">
        <f t="shared" si="8"/>
        <v>2418.7142857142858</v>
      </c>
    </row>
    <row r="567" spans="1:8">
      <c r="A567" s="15">
        <v>44443</v>
      </c>
      <c r="B567" s="27">
        <v>-42.541296963490701</v>
      </c>
      <c r="C567" s="16">
        <v>5.3857488758215144</v>
      </c>
      <c r="D567" s="26">
        <v>6</v>
      </c>
      <c r="E567" s="22">
        <v>0.49624452857401502</v>
      </c>
      <c r="F567" s="13"/>
      <c r="G567" s="25">
        <v>2370</v>
      </c>
      <c r="H567" s="14">
        <f t="shared" si="8"/>
        <v>2234.1428571428573</v>
      </c>
    </row>
    <row r="568" spans="1:8">
      <c r="A568" s="15">
        <v>44444</v>
      </c>
      <c r="B568" s="27">
        <v>-41.743563941015182</v>
      </c>
      <c r="C568" s="16">
        <v>5.3859149083362166</v>
      </c>
      <c r="D568" s="26">
        <v>12</v>
      </c>
      <c r="E568" s="22">
        <v>0.50039780123903499</v>
      </c>
      <c r="F568" s="13"/>
      <c r="G568" s="25">
        <v>1854</v>
      </c>
      <c r="H568" s="14">
        <f t="shared" si="8"/>
        <v>2043.2857142857142</v>
      </c>
    </row>
    <row r="569" spans="1:8">
      <c r="A569" s="15">
        <v>44445</v>
      </c>
      <c r="B569" s="27">
        <v>-37.863076107902273</v>
      </c>
      <c r="C569" s="16">
        <v>5.385873400207541</v>
      </c>
      <c r="D569" s="26">
        <v>3</v>
      </c>
      <c r="E569" s="22">
        <v>0.50398787210070595</v>
      </c>
      <c r="F569" s="13"/>
      <c r="G569" s="25">
        <v>974</v>
      </c>
      <c r="H569" s="14">
        <f t="shared" si="8"/>
        <v>1840.4285714285713</v>
      </c>
    </row>
    <row r="570" spans="1:8">
      <c r="A570" s="15">
        <v>44446</v>
      </c>
      <c r="B570" s="27">
        <v>-37.468148030311795</v>
      </c>
      <c r="C570" s="16">
        <v>5.3856243514354887</v>
      </c>
      <c r="D570" s="26">
        <v>5</v>
      </c>
      <c r="E570" s="22">
        <v>0.50796309599477696</v>
      </c>
      <c r="F570" s="13"/>
      <c r="G570" s="25">
        <v>1634</v>
      </c>
      <c r="H570" s="14">
        <f t="shared" si="8"/>
        <v>1656.4285714285713</v>
      </c>
    </row>
    <row r="571" spans="1:8">
      <c r="A571" s="15">
        <v>44447</v>
      </c>
      <c r="B571" s="27">
        <v>-40.341730395354077</v>
      </c>
      <c r="C571" s="16">
        <v>5.3851677620200622</v>
      </c>
      <c r="D571" s="26">
        <v>7</v>
      </c>
      <c r="E571" s="22">
        <v>0.51220688135883197</v>
      </c>
      <c r="F571" s="13"/>
      <c r="G571" s="25">
        <v>1840</v>
      </c>
      <c r="H571" s="14">
        <f t="shared" si="8"/>
        <v>1500.1428571428571</v>
      </c>
    </row>
    <row r="572" spans="1:8">
      <c r="A572" s="15">
        <v>44448</v>
      </c>
      <c r="B572" s="27">
        <v>-41.237749421380975</v>
      </c>
      <c r="C572" s="16">
        <v>5.3845036319612589</v>
      </c>
      <c r="D572" s="26">
        <v>6</v>
      </c>
      <c r="E572" s="22">
        <v>0.516069935614062</v>
      </c>
      <c r="F572" s="13"/>
      <c r="G572" s="25">
        <v>1677</v>
      </c>
      <c r="H572" s="14">
        <f t="shared" si="8"/>
        <v>1388.4285714285713</v>
      </c>
    </row>
    <row r="573" spans="1:8">
      <c r="A573" s="15">
        <v>44449</v>
      </c>
      <c r="B573" s="27">
        <v>-40.971065951204658</v>
      </c>
      <c r="C573" s="16">
        <v>5.3836319612590797</v>
      </c>
      <c r="D573" s="26">
        <v>7</v>
      </c>
      <c r="E573" s="22">
        <v>0.52031917285626506</v>
      </c>
      <c r="F573" s="13"/>
      <c r="G573" s="25">
        <v>1246</v>
      </c>
      <c r="H573" s="14">
        <f t="shared" si="8"/>
        <v>1337.1428571428571</v>
      </c>
    </row>
    <row r="574" spans="1:8">
      <c r="A574" s="15">
        <v>44450</v>
      </c>
      <c r="B574" s="27">
        <v>-39.010410487602329</v>
      </c>
      <c r="C574" s="16">
        <v>5.3833829124870292</v>
      </c>
      <c r="D574" s="26">
        <v>8</v>
      </c>
      <c r="E574" s="22">
        <v>0.52430127817211702</v>
      </c>
      <c r="F574" s="13"/>
      <c r="G574" s="25">
        <v>1276</v>
      </c>
      <c r="H574" s="14">
        <f t="shared" si="8"/>
        <v>1248.1428571428571</v>
      </c>
    </row>
    <row r="575" spans="1:8">
      <c r="A575" s="15">
        <v>44451</v>
      </c>
      <c r="B575" s="27">
        <v>-40.435840076295563</v>
      </c>
      <c r="C575" s="16">
        <v>5.3837564856451063</v>
      </c>
      <c r="D575" s="26">
        <v>13</v>
      </c>
      <c r="E575" s="22">
        <v>0.52766337828546395</v>
      </c>
      <c r="F575" s="13"/>
      <c r="G575" s="25">
        <v>1072</v>
      </c>
      <c r="H575" s="14">
        <f t="shared" si="8"/>
        <v>1136.4285714285713</v>
      </c>
    </row>
    <row r="576" spans="1:8">
      <c r="A576" s="15">
        <v>44452</v>
      </c>
      <c r="B576" s="27">
        <v>-38.628876795227654</v>
      </c>
      <c r="C576" s="16">
        <v>5.3847526807333113</v>
      </c>
      <c r="D576" s="26">
        <v>3</v>
      </c>
      <c r="E576" s="22">
        <v>0.53074904057707895</v>
      </c>
      <c r="F576" s="13"/>
      <c r="G576" s="25">
        <v>615</v>
      </c>
      <c r="H576" s="14">
        <f t="shared" si="8"/>
        <v>1015.7142857142857</v>
      </c>
    </row>
    <row r="577" spans="1:8">
      <c r="A577" s="15">
        <v>44453</v>
      </c>
      <c r="B577" s="27">
        <v>-37.502494649158322</v>
      </c>
      <c r="C577" s="16">
        <v>5.3863714977516439</v>
      </c>
      <c r="D577" s="26">
        <v>7</v>
      </c>
      <c r="E577" s="22">
        <v>0.53463001530505005</v>
      </c>
      <c r="F577" s="13"/>
      <c r="G577" s="25">
        <v>1011</v>
      </c>
      <c r="H577" s="14">
        <f t="shared" si="8"/>
        <v>950.57142857142856</v>
      </c>
    </row>
    <row r="578" spans="1:8">
      <c r="A578" s="15">
        <v>44454</v>
      </c>
      <c r="B578" s="27">
        <v>-38.231780084055359</v>
      </c>
      <c r="C578" s="16">
        <v>5.3886129367001043</v>
      </c>
      <c r="D578" s="26">
        <v>7</v>
      </c>
      <c r="E578" s="22">
        <v>0.53860601992070301</v>
      </c>
      <c r="F578" s="13"/>
      <c r="G578" s="25">
        <v>1058</v>
      </c>
      <c r="H578" s="14">
        <f t="shared" si="8"/>
        <v>891.85714285714289</v>
      </c>
    </row>
    <row r="579" spans="1:8">
      <c r="A579" s="15">
        <v>44455</v>
      </c>
      <c r="B579" s="27">
        <v>-37.019243970249306</v>
      </c>
      <c r="C579" s="16">
        <v>5.3914769975786916</v>
      </c>
      <c r="D579" s="26">
        <v>7</v>
      </c>
      <c r="E579" s="22">
        <v>0.54167459212406799</v>
      </c>
      <c r="F579" s="13"/>
      <c r="G579" s="25">
        <v>832</v>
      </c>
      <c r="H579" s="14">
        <f t="shared" si="8"/>
        <v>819.14285714285711</v>
      </c>
    </row>
    <row r="580" spans="1:8">
      <c r="A580" s="15">
        <v>44456</v>
      </c>
      <c r="B580" s="27">
        <v>-38.135146583174411</v>
      </c>
      <c r="C580" s="16">
        <v>5.3949636803874084</v>
      </c>
      <c r="D580" s="26">
        <v>12</v>
      </c>
      <c r="E580" s="22">
        <v>0.54563485704919701</v>
      </c>
      <c r="F580" s="13"/>
      <c r="G580" s="25">
        <v>790</v>
      </c>
      <c r="H580" s="14">
        <f t="shared" si="8"/>
        <v>774.28571428571433</v>
      </c>
    </row>
    <row r="581" spans="1:8">
      <c r="A581" s="15">
        <v>44457</v>
      </c>
      <c r="B581" s="27">
        <v>-41.948848274440998</v>
      </c>
      <c r="C581" s="16">
        <v>5.3983258388101003</v>
      </c>
      <c r="D581" s="26">
        <v>12</v>
      </c>
      <c r="E581" s="22">
        <v>0.54940107557014795</v>
      </c>
      <c r="F581" s="13"/>
      <c r="G581" s="25">
        <v>865</v>
      </c>
      <c r="H581" s="14">
        <f t="shared" si="8"/>
        <v>666.71428571428567</v>
      </c>
    </row>
    <row r="582" spans="1:8">
      <c r="A582" s="15">
        <v>44458</v>
      </c>
      <c r="B582" s="27">
        <v>-31.716196133549467</v>
      </c>
      <c r="C582" s="16">
        <v>5.4015634728467665</v>
      </c>
      <c r="D582" s="26">
        <v>14</v>
      </c>
      <c r="E582" s="22">
        <v>0.55267882471973095</v>
      </c>
      <c r="F582" s="13"/>
      <c r="G582" s="25">
        <v>563</v>
      </c>
      <c r="H582" s="14">
        <f t="shared" si="8"/>
        <v>592.42857142857144</v>
      </c>
    </row>
    <row r="583" spans="1:8">
      <c r="A583" s="15">
        <v>44459</v>
      </c>
      <c r="B583" s="27">
        <v>-45.25644335590944</v>
      </c>
      <c r="C583" s="16">
        <v>5.4046765824974061</v>
      </c>
      <c r="D583" s="26">
        <v>13</v>
      </c>
      <c r="E583" s="22">
        <v>0.55617548780561199</v>
      </c>
      <c r="F583" s="13"/>
      <c r="G583" s="25">
        <v>301</v>
      </c>
      <c r="H583" s="14">
        <f t="shared" si="8"/>
        <v>549.71428571428567</v>
      </c>
    </row>
    <row r="584" spans="1:8">
      <c r="A584" s="15">
        <v>44460</v>
      </c>
      <c r="B584" s="27">
        <v>-34.200266095910223</v>
      </c>
      <c r="C584" s="16">
        <v>5.40766516776202</v>
      </c>
      <c r="D584" s="26">
        <v>6</v>
      </c>
      <c r="E584" s="22">
        <v>0.559801067296953</v>
      </c>
      <c r="F584" s="13"/>
      <c r="G584" s="25">
        <v>258</v>
      </c>
      <c r="H584" s="14">
        <f t="shared" si="8"/>
        <v>471</v>
      </c>
    </row>
    <row r="585" spans="1:8">
      <c r="A585" s="15">
        <v>44461</v>
      </c>
      <c r="B585" s="27">
        <v>-35.433347529441832</v>
      </c>
      <c r="C585" s="16">
        <v>5.4105292286406081</v>
      </c>
      <c r="D585" s="26">
        <v>13</v>
      </c>
      <c r="E585" s="22">
        <v>0.56336069361846197</v>
      </c>
      <c r="F585" s="13"/>
      <c r="G585" s="25">
        <v>538</v>
      </c>
      <c r="H585" s="14">
        <f t="shared" si="8"/>
        <v>402</v>
      </c>
    </row>
    <row r="586" spans="1:8">
      <c r="A586" s="15">
        <v>44462</v>
      </c>
      <c r="B586" s="27">
        <v>-46.888352161840238</v>
      </c>
      <c r="C586" s="16">
        <v>5.4132687651331723</v>
      </c>
      <c r="D586" s="26">
        <v>10</v>
      </c>
      <c r="E586" s="22">
        <v>0.56672448368968298</v>
      </c>
      <c r="F586" s="13"/>
      <c r="G586" s="25">
        <v>533</v>
      </c>
      <c r="H586" s="14">
        <f t="shared" si="8"/>
        <v>364.71428571428572</v>
      </c>
    </row>
    <row r="587" spans="1:8">
      <c r="A587" s="15">
        <v>44463</v>
      </c>
      <c r="B587" s="27">
        <v>-38.327057750328748</v>
      </c>
      <c r="C587" s="16">
        <v>5.415883777239709</v>
      </c>
      <c r="D587" s="26">
        <v>13</v>
      </c>
      <c r="E587" s="22">
        <v>0.570387891122761</v>
      </c>
      <c r="F587" s="13"/>
      <c r="G587" s="25">
        <v>239</v>
      </c>
      <c r="H587" s="14">
        <f t="shared" si="8"/>
        <v>343.85714285714283</v>
      </c>
    </row>
    <row r="588" spans="1:8">
      <c r="A588" s="15">
        <v>44464</v>
      </c>
      <c r="B588" s="27">
        <v>-34.752866045169874</v>
      </c>
      <c r="C588" s="16">
        <v>5.4181252161881712</v>
      </c>
      <c r="D588" s="26">
        <v>21</v>
      </c>
      <c r="E588" s="22">
        <v>0.57376536790495103</v>
      </c>
      <c r="F588" s="13"/>
      <c r="G588" s="25">
        <v>382</v>
      </c>
      <c r="H588" s="14">
        <f t="shared" si="8"/>
        <v>342.71428571428572</v>
      </c>
    </row>
    <row r="589" spans="1:8">
      <c r="A589" s="15">
        <v>44465</v>
      </c>
      <c r="B589" s="27">
        <v>-35.889457985048892</v>
      </c>
      <c r="C589" s="16">
        <v>5.4199930819785545</v>
      </c>
      <c r="D589" s="26">
        <v>14</v>
      </c>
      <c r="E589" s="22">
        <v>0.57682693299938403</v>
      </c>
      <c r="F589" s="13"/>
      <c r="G589" s="25">
        <v>302</v>
      </c>
      <c r="H589" s="14">
        <f t="shared" si="8"/>
        <v>304.14285714285717</v>
      </c>
    </row>
    <row r="590" spans="1:8">
      <c r="A590" s="15">
        <v>44466</v>
      </c>
      <c r="B590" s="27">
        <v>-34.236121939453874</v>
      </c>
      <c r="C590" s="16">
        <v>5.4214873746108614</v>
      </c>
      <c r="D590" s="26">
        <v>10</v>
      </c>
      <c r="E590" s="22">
        <v>0.57939256612852397</v>
      </c>
      <c r="F590" s="13"/>
      <c r="G590" s="25">
        <v>155</v>
      </c>
      <c r="H590" s="14">
        <f t="shared" si="8"/>
        <v>259.28571428571428</v>
      </c>
    </row>
    <row r="591" spans="1:8">
      <c r="A591" s="15">
        <v>44467</v>
      </c>
      <c r="B591" s="27">
        <v>-34.487150749117831</v>
      </c>
      <c r="C591" s="16">
        <v>5.422608094085092</v>
      </c>
      <c r="D591" s="26">
        <v>8</v>
      </c>
      <c r="E591" s="22">
        <v>0.58226538204275602</v>
      </c>
      <c r="F591" s="13"/>
      <c r="G591" s="25">
        <v>250</v>
      </c>
      <c r="H591" s="14">
        <f t="shared" si="8"/>
        <v>253.14285714285714</v>
      </c>
    </row>
    <row r="592" spans="1:8">
      <c r="A592" s="15">
        <v>44468</v>
      </c>
      <c r="B592" s="27">
        <v>-36.001203477129586</v>
      </c>
      <c r="C592" s="16">
        <v>5.4233552404012446</v>
      </c>
      <c r="D592" s="26">
        <v>11</v>
      </c>
      <c r="E592" s="22">
        <v>0.58516116117321604</v>
      </c>
      <c r="F592" s="13"/>
      <c r="G592" s="25">
        <v>268</v>
      </c>
      <c r="H592" s="14">
        <f t="shared" si="8"/>
        <v>226.71428571428572</v>
      </c>
    </row>
    <row r="593" spans="1:8">
      <c r="A593" s="15">
        <v>44469</v>
      </c>
      <c r="B593" s="27">
        <v>-35.071629194444839</v>
      </c>
      <c r="C593" s="16">
        <v>5.4237288135593218</v>
      </c>
      <c r="D593" s="26">
        <v>11</v>
      </c>
      <c r="E593" s="22">
        <v>0.58779753331524698</v>
      </c>
      <c r="F593" s="13"/>
      <c r="G593" s="25">
        <v>219</v>
      </c>
      <c r="H593" s="14">
        <f t="shared" si="8"/>
        <v>206.57142857142858</v>
      </c>
    </row>
    <row r="594" spans="1:8">
      <c r="A594" s="15">
        <v>44470</v>
      </c>
      <c r="B594" s="27">
        <v>-43.096598432307964</v>
      </c>
      <c r="C594" s="16">
        <v>5.4237288135593218</v>
      </c>
      <c r="D594" s="26">
        <v>19</v>
      </c>
      <c r="E594" s="22">
        <v>0.59068221168374402</v>
      </c>
      <c r="F594" s="13"/>
      <c r="G594" s="25">
        <v>196</v>
      </c>
      <c r="H594" s="14">
        <f t="shared" si="8"/>
        <v>196.85714285714286</v>
      </c>
    </row>
    <row r="595" spans="1:8">
      <c r="A595" s="15">
        <v>44471</v>
      </c>
      <c r="B595" s="27">
        <v>-30.269753232886465</v>
      </c>
      <c r="C595" s="16">
        <v>5.421736423382912</v>
      </c>
      <c r="D595" s="26">
        <v>17</v>
      </c>
      <c r="E595" s="22">
        <v>0.59364564126880104</v>
      </c>
      <c r="F595" s="13"/>
      <c r="G595" s="25">
        <v>197</v>
      </c>
      <c r="H595" s="14">
        <f t="shared" si="8"/>
        <v>181.14285714285714</v>
      </c>
    </row>
    <row r="596" spans="1:8">
      <c r="A596" s="15">
        <v>44472</v>
      </c>
      <c r="B596" s="27">
        <v>-30.827749964045548</v>
      </c>
      <c r="C596" s="16">
        <v>5.4177516430300932</v>
      </c>
      <c r="D596" s="26">
        <v>11</v>
      </c>
      <c r="E596" s="22">
        <v>0.59629495913570596</v>
      </c>
      <c r="F596" s="13"/>
      <c r="G596" s="25">
        <v>161</v>
      </c>
      <c r="H596" s="14">
        <f t="shared" si="8"/>
        <v>164.14285714285714</v>
      </c>
    </row>
    <row r="597" spans="1:8">
      <c r="A597" s="15">
        <v>44473</v>
      </c>
      <c r="B597" s="27">
        <v>-29.961682577787872</v>
      </c>
      <c r="C597" s="16">
        <v>5.4117744725008645</v>
      </c>
      <c r="D597" s="26">
        <v>14</v>
      </c>
      <c r="E597" s="22">
        <v>0.59727899483467495</v>
      </c>
      <c r="F597" s="13"/>
      <c r="G597" s="25">
        <v>87</v>
      </c>
      <c r="H597" s="14">
        <f t="shared" ref="H597:H660" si="9">SUM(G594:G600)/7</f>
        <v>153.28571428571428</v>
      </c>
    </row>
    <row r="598" spans="1:8">
      <c r="A598" s="15">
        <v>44474</v>
      </c>
      <c r="B598" s="27">
        <v>-30.417944119858852</v>
      </c>
      <c r="C598" s="16">
        <v>5.403804911795226</v>
      </c>
      <c r="D598" s="26">
        <v>9</v>
      </c>
      <c r="E598" s="22">
        <v>0.59929995059611096</v>
      </c>
      <c r="F598" s="13"/>
      <c r="G598" s="25">
        <v>140</v>
      </c>
      <c r="H598" s="14">
        <f t="shared" si="9"/>
        <v>144.57142857142858</v>
      </c>
    </row>
    <row r="599" spans="1:8">
      <c r="A599" s="15">
        <v>44475</v>
      </c>
      <c r="B599" s="27">
        <v>-32.655843497828272</v>
      </c>
      <c r="C599" s="16">
        <v>5.3938429609131786</v>
      </c>
      <c r="D599" s="26">
        <v>11</v>
      </c>
      <c r="E599" s="22">
        <v>0.60144234787848205</v>
      </c>
      <c r="F599" s="13"/>
      <c r="G599" s="25">
        <v>149</v>
      </c>
      <c r="H599" s="14">
        <f t="shared" si="9"/>
        <v>128.14285714285714</v>
      </c>
    </row>
    <row r="600" spans="1:8">
      <c r="A600" s="15">
        <v>44476</v>
      </c>
      <c r="B600" s="27">
        <v>-32.483962199555179</v>
      </c>
      <c r="C600" s="16">
        <v>5.3818886198547213</v>
      </c>
      <c r="D600" s="26">
        <v>20</v>
      </c>
      <c r="E600" s="22">
        <v>0.60295570954376998</v>
      </c>
      <c r="F600" s="13"/>
      <c r="G600" s="25">
        <v>143</v>
      </c>
      <c r="H600" s="14">
        <f t="shared" si="9"/>
        <v>113.57142857142857</v>
      </c>
    </row>
    <row r="601" spans="1:8">
      <c r="A601" s="15">
        <v>44477</v>
      </c>
      <c r="B601" s="27">
        <v>-34.154884902098956</v>
      </c>
      <c r="C601" s="16">
        <v>5.3679418886198551</v>
      </c>
      <c r="D601" s="26">
        <v>23</v>
      </c>
      <c r="E601" s="22">
        <v>0.60520355587363195</v>
      </c>
      <c r="F601" s="13"/>
      <c r="G601" s="25">
        <v>135</v>
      </c>
      <c r="H601" s="14">
        <f t="shared" si="9"/>
        <v>108.14285714285714</v>
      </c>
    </row>
    <row r="602" spans="1:8">
      <c r="A602" s="15">
        <v>44478</v>
      </c>
      <c r="B602" s="27">
        <v>-28.096179543056245</v>
      </c>
      <c r="C602" s="16">
        <v>5.3579799377378077</v>
      </c>
      <c r="D602" s="26">
        <v>26</v>
      </c>
      <c r="E602" s="22">
        <v>0.60779197584730404</v>
      </c>
      <c r="F602" s="13"/>
      <c r="G602" s="25">
        <v>82</v>
      </c>
      <c r="H602" s="14">
        <f t="shared" si="9"/>
        <v>98.571428571428569</v>
      </c>
    </row>
    <row r="603" spans="1:8">
      <c r="A603" s="15">
        <v>44479</v>
      </c>
      <c r="B603" s="27">
        <v>-30.179339532630312</v>
      </c>
      <c r="C603" s="16">
        <v>5.352002767208579</v>
      </c>
      <c r="D603" s="26">
        <v>22</v>
      </c>
      <c r="E603" s="22">
        <v>0.60995307202273497</v>
      </c>
      <c r="F603" s="13"/>
      <c r="G603" s="25">
        <v>59</v>
      </c>
      <c r="H603" s="14">
        <f t="shared" si="9"/>
        <v>87.428571428571431</v>
      </c>
    </row>
    <row r="604" spans="1:8">
      <c r="A604" s="15">
        <v>44480</v>
      </c>
      <c r="B604" s="27">
        <v>-30.308704843376212</v>
      </c>
      <c r="C604" s="16">
        <v>5.3500103770321692</v>
      </c>
      <c r="D604" s="26">
        <v>15</v>
      </c>
      <c r="E604" s="22">
        <v>0.61143461982405201</v>
      </c>
      <c r="F604" s="13"/>
      <c r="G604" s="25">
        <v>49</v>
      </c>
      <c r="H604" s="14">
        <f t="shared" si="9"/>
        <v>75.714285714285708</v>
      </c>
    </row>
    <row r="605" spans="1:8">
      <c r="A605" s="15">
        <v>44481</v>
      </c>
      <c r="B605" s="27">
        <v>-30.923743275293575</v>
      </c>
      <c r="C605" s="16">
        <v>5.352002767208579</v>
      </c>
      <c r="D605" s="26">
        <v>11</v>
      </c>
      <c r="E605" s="22">
        <v>0.61308216804539595</v>
      </c>
      <c r="F605" s="13"/>
      <c r="G605" s="25">
        <v>73</v>
      </c>
      <c r="H605" s="14">
        <f t="shared" si="9"/>
        <v>64.571428571428569</v>
      </c>
    </row>
    <row r="606" spans="1:8">
      <c r="A606" s="15">
        <v>44482</v>
      </c>
      <c r="B606" s="27">
        <v>-33.43211410467535</v>
      </c>
      <c r="C606" s="16">
        <v>5.3579799377378077</v>
      </c>
      <c r="D606" s="26">
        <v>20</v>
      </c>
      <c r="E606" s="22">
        <v>0.61487980437054901</v>
      </c>
      <c r="F606" s="13"/>
      <c r="G606" s="25">
        <v>71</v>
      </c>
      <c r="H606" s="14">
        <f t="shared" si="9"/>
        <v>62.142857142857146</v>
      </c>
    </row>
    <row r="607" spans="1:8">
      <c r="A607" s="15">
        <v>44483</v>
      </c>
      <c r="B607" s="27">
        <v>-32.511837403449093</v>
      </c>
      <c r="C607" s="16">
        <v>5.3679418886198551</v>
      </c>
      <c r="D607" s="26">
        <v>22</v>
      </c>
      <c r="E607" s="22">
        <v>0.61659962974120597</v>
      </c>
      <c r="F607" s="13"/>
      <c r="G607" s="25">
        <v>61</v>
      </c>
      <c r="H607" s="14">
        <f t="shared" si="9"/>
        <v>59.142857142857146</v>
      </c>
    </row>
    <row r="608" spans="1:8">
      <c r="A608" s="15">
        <v>44484</v>
      </c>
      <c r="B608" s="27">
        <v>-36.697781065762513</v>
      </c>
      <c r="C608" s="16">
        <v>5.3818886198547222</v>
      </c>
      <c r="D608" s="26">
        <v>35</v>
      </c>
      <c r="E608" s="22">
        <v>0.61812822419479296</v>
      </c>
      <c r="F608" s="13"/>
      <c r="G608" s="25">
        <v>57</v>
      </c>
      <c r="H608" s="14">
        <f t="shared" si="9"/>
        <v>56.142857142857146</v>
      </c>
    </row>
    <row r="609" spans="1:8">
      <c r="A609" s="15">
        <v>44485</v>
      </c>
      <c r="B609" s="27">
        <v>-25.07083159018676</v>
      </c>
      <c r="C609" s="16">
        <v>5.3938429609131786</v>
      </c>
      <c r="D609" s="26">
        <v>27</v>
      </c>
      <c r="E609" s="22">
        <v>0.62015911104185895</v>
      </c>
      <c r="F609" s="13"/>
      <c r="G609" s="25">
        <v>65</v>
      </c>
      <c r="H609" s="14">
        <f t="shared" si="9"/>
        <v>50.571428571428569</v>
      </c>
    </row>
    <row r="610" spans="1:8">
      <c r="A610" s="15">
        <v>44486</v>
      </c>
      <c r="B610" s="27">
        <v>-28.989682026889263</v>
      </c>
      <c r="C610" s="16">
        <v>5.403804911795226</v>
      </c>
      <c r="D610" s="26">
        <v>23</v>
      </c>
      <c r="E610" s="22">
        <v>0.62163668407670303</v>
      </c>
      <c r="F610" s="13"/>
      <c r="G610" s="25">
        <v>38</v>
      </c>
      <c r="H610" s="14">
        <f t="shared" si="9"/>
        <v>46</v>
      </c>
    </row>
    <row r="611" spans="1:8">
      <c r="A611" s="15">
        <v>44487</v>
      </c>
      <c r="B611" s="27">
        <v>-28.225658321650897</v>
      </c>
      <c r="C611" s="16">
        <v>5.4117744725008645</v>
      </c>
      <c r="D611" s="26">
        <v>15</v>
      </c>
      <c r="E611" s="22">
        <v>0.62273046840312596</v>
      </c>
      <c r="F611" s="13"/>
      <c r="G611" s="25">
        <v>28</v>
      </c>
      <c r="H611" s="14">
        <f t="shared" si="9"/>
        <v>42.428571428571431</v>
      </c>
    </row>
    <row r="612" spans="1:8">
      <c r="A612" s="15">
        <v>44488</v>
      </c>
      <c r="B612" s="27">
        <v>-29.39369179151964</v>
      </c>
      <c r="C612" s="16">
        <v>5.4177516430300932</v>
      </c>
      <c r="D612" s="26">
        <v>22</v>
      </c>
      <c r="E612" s="22">
        <v>0.62382486584590402</v>
      </c>
      <c r="F612" s="13"/>
      <c r="G612" s="25">
        <v>34</v>
      </c>
      <c r="H612" s="14">
        <f t="shared" si="9"/>
        <v>37.857142857142854</v>
      </c>
    </row>
    <row r="613" spans="1:8">
      <c r="A613" s="15">
        <v>44489</v>
      </c>
      <c r="B613" s="27">
        <v>-29.780208721100092</v>
      </c>
      <c r="C613" s="16">
        <v>5.421736423382912</v>
      </c>
      <c r="D613" s="26">
        <v>11</v>
      </c>
      <c r="E613" s="22">
        <v>0.62493453164336299</v>
      </c>
      <c r="F613" s="13"/>
      <c r="G613" s="25">
        <v>39</v>
      </c>
      <c r="H613" s="14">
        <f t="shared" si="9"/>
        <v>32.571428571428569</v>
      </c>
    </row>
    <row r="614" spans="1:8">
      <c r="A614" s="15">
        <v>44490</v>
      </c>
      <c r="B614" s="27">
        <v>-29.363851004602186</v>
      </c>
      <c r="C614" s="16">
        <v>5.4237288135593218</v>
      </c>
      <c r="D614" s="26">
        <v>20</v>
      </c>
      <c r="E614" s="22">
        <v>0.62594210139565598</v>
      </c>
      <c r="F614" s="13"/>
      <c r="G614" s="25">
        <v>36</v>
      </c>
      <c r="H614" s="14">
        <f t="shared" si="9"/>
        <v>29.428571428571427</v>
      </c>
    </row>
    <row r="615" spans="1:8">
      <c r="A615" s="15">
        <v>44491</v>
      </c>
      <c r="B615" s="27">
        <v>-30.965724060435591</v>
      </c>
      <c r="C615" s="16">
        <v>5.4237288135593218</v>
      </c>
      <c r="D615" s="26">
        <v>41</v>
      </c>
      <c r="E615" s="22">
        <v>0.62701313874203002</v>
      </c>
      <c r="F615" s="13"/>
      <c r="G615" s="25">
        <v>25</v>
      </c>
      <c r="H615" s="14">
        <f t="shared" si="9"/>
        <v>27.857142857142858</v>
      </c>
    </row>
    <row r="616" spans="1:8">
      <c r="A616" s="15">
        <v>44492</v>
      </c>
      <c r="B616" s="27">
        <v>-21.348953487646032</v>
      </c>
      <c r="C616" s="16">
        <v>5.4237288135593218</v>
      </c>
      <c r="D616" s="26">
        <v>47</v>
      </c>
      <c r="E616" s="22">
        <v>0.62833729338410604</v>
      </c>
      <c r="F616" s="13"/>
      <c r="G616" s="25">
        <v>28</v>
      </c>
      <c r="H616" s="14">
        <f t="shared" si="9"/>
        <v>27</v>
      </c>
    </row>
    <row r="617" spans="1:8">
      <c r="A617" s="15">
        <v>44493</v>
      </c>
      <c r="B617" s="27">
        <v>-24.82325046062001</v>
      </c>
      <c r="C617" s="16">
        <v>5.4237288135593218</v>
      </c>
      <c r="D617" s="26">
        <v>28</v>
      </c>
      <c r="E617" s="22">
        <v>0.62916901578163897</v>
      </c>
      <c r="F617" s="13"/>
      <c r="G617" s="25">
        <v>16</v>
      </c>
      <c r="H617" s="14">
        <f t="shared" si="9"/>
        <v>26.571428571428573</v>
      </c>
    </row>
    <row r="618" spans="1:8">
      <c r="A618" s="15">
        <v>44494</v>
      </c>
      <c r="B618" s="27">
        <v>-26.664551107728812</v>
      </c>
      <c r="C618" s="16">
        <v>5.4237288135593218</v>
      </c>
      <c r="D618" s="26">
        <v>23</v>
      </c>
      <c r="E618" s="22">
        <v>0.629700274045353</v>
      </c>
      <c r="F618" s="13"/>
      <c r="G618" s="25">
        <v>17</v>
      </c>
      <c r="H618" s="14">
        <f t="shared" si="9"/>
        <v>24.428571428571427</v>
      </c>
    </row>
    <row r="619" spans="1:8">
      <c r="A619" s="15">
        <v>44495</v>
      </c>
      <c r="B619" s="27">
        <v>-26.592056169375834</v>
      </c>
      <c r="C619" s="16">
        <v>5.4237288135593218</v>
      </c>
      <c r="D619" s="26">
        <v>26</v>
      </c>
      <c r="E619" s="22">
        <v>0.63026559403243498</v>
      </c>
      <c r="F619" s="13"/>
      <c r="G619" s="25">
        <v>28</v>
      </c>
      <c r="H619" s="14">
        <f t="shared" si="9"/>
        <v>23.857142857142858</v>
      </c>
    </row>
    <row r="620" spans="1:8">
      <c r="A620" s="15">
        <v>44496</v>
      </c>
      <c r="B620" s="27">
        <v>-28.21875286200164</v>
      </c>
      <c r="C620" s="16">
        <v>5.4237288135593218</v>
      </c>
      <c r="D620" s="26">
        <v>35</v>
      </c>
      <c r="E620" s="22">
        <v>0.63057703026387002</v>
      </c>
      <c r="F620" s="13"/>
      <c r="G620" s="25">
        <v>36</v>
      </c>
      <c r="H620" s="14">
        <f t="shared" si="9"/>
        <v>22.857142857142858</v>
      </c>
    </row>
    <row r="621" spans="1:8">
      <c r="A621" s="15">
        <v>44497</v>
      </c>
      <c r="B621" s="27">
        <v>-27.519152037687832</v>
      </c>
      <c r="C621" s="16">
        <v>5.4237288135593218</v>
      </c>
      <c r="D621" s="26">
        <v>21</v>
      </c>
      <c r="E621" s="22">
        <v>0.63112469379397795</v>
      </c>
      <c r="F621" s="13"/>
      <c r="G621" s="25">
        <v>21</v>
      </c>
      <c r="H621" s="14">
        <f t="shared" si="9"/>
        <v>23.571428571428573</v>
      </c>
    </row>
    <row r="622" spans="1:8">
      <c r="A622" s="15">
        <v>44498</v>
      </c>
      <c r="B622" s="27">
        <v>-26.01377179780976</v>
      </c>
      <c r="C622" s="16">
        <v>5.4237288135593218</v>
      </c>
      <c r="D622" s="26">
        <v>43</v>
      </c>
      <c r="E622" s="22">
        <v>0.63176793722913605</v>
      </c>
      <c r="F622" s="13"/>
      <c r="G622" s="25">
        <v>21</v>
      </c>
      <c r="H622" s="14">
        <f t="shared" si="9"/>
        <v>22.428571428571427</v>
      </c>
    </row>
    <row r="623" spans="1:8">
      <c r="A623" s="15">
        <v>44499</v>
      </c>
      <c r="B623" s="27">
        <v>-19.451291281353221</v>
      </c>
      <c r="C623" s="16">
        <v>5.4237288135593218</v>
      </c>
      <c r="D623" s="26">
        <v>51</v>
      </c>
      <c r="E623" s="22">
        <v>0.63247539090592197</v>
      </c>
      <c r="F623" s="13"/>
      <c r="G623" s="25">
        <v>21</v>
      </c>
      <c r="H623" s="14">
        <f t="shared" si="9"/>
        <v>21</v>
      </c>
    </row>
    <row r="624" spans="1:8">
      <c r="A624" s="15">
        <v>44500</v>
      </c>
      <c r="B624" s="27">
        <v>-21.714070684543067</v>
      </c>
      <c r="C624" s="16">
        <v>5.4237288135593218</v>
      </c>
      <c r="D624" s="26">
        <v>25</v>
      </c>
      <c r="E624" s="22">
        <v>0.63276523012327002</v>
      </c>
      <c r="F624" s="13"/>
      <c r="G624" s="25">
        <v>21</v>
      </c>
      <c r="H624" s="14">
        <f t="shared" si="9"/>
        <v>19.285714285714285</v>
      </c>
    </row>
    <row r="625" spans="1:8">
      <c r="A625" s="15">
        <v>44501</v>
      </c>
      <c r="B625" s="27">
        <v>-22.988079713968641</v>
      </c>
      <c r="C625" s="16">
        <v>5.4237288135593218</v>
      </c>
      <c r="D625" s="26">
        <v>36</v>
      </c>
      <c r="E625" s="22">
        <v>0.63293821709565501</v>
      </c>
      <c r="F625" s="13"/>
      <c r="G625" s="25">
        <v>9</v>
      </c>
      <c r="H625" s="14">
        <f t="shared" si="9"/>
        <v>18.285714285714285</v>
      </c>
    </row>
    <row r="626" spans="1:8">
      <c r="A626" s="15">
        <v>44502</v>
      </c>
      <c r="B626" s="27">
        <v>-21.348267484236711</v>
      </c>
      <c r="C626" s="16">
        <v>5.4237288135593218</v>
      </c>
      <c r="D626" s="26">
        <v>42</v>
      </c>
      <c r="E626" s="22">
        <v>0.63309094022832102</v>
      </c>
      <c r="F626" s="13"/>
      <c r="G626" s="25">
        <v>18</v>
      </c>
      <c r="H626" s="14">
        <f t="shared" si="9"/>
        <v>18.857142857142858</v>
      </c>
    </row>
    <row r="627" spans="1:8">
      <c r="A627" s="15">
        <v>44503</v>
      </c>
      <c r="B627" s="27">
        <v>-34.567651885882789</v>
      </c>
      <c r="C627" s="16">
        <v>5.4237288135593218</v>
      </c>
      <c r="D627" s="26">
        <v>42</v>
      </c>
      <c r="E627" s="22">
        <v>0.633257011724357</v>
      </c>
      <c r="F627" s="13"/>
      <c r="G627" s="25">
        <v>24</v>
      </c>
      <c r="H627" s="14">
        <f t="shared" si="9"/>
        <v>20</v>
      </c>
    </row>
    <row r="628" spans="1:8">
      <c r="A628" s="15">
        <v>44504</v>
      </c>
      <c r="B628" s="27">
        <v>-27.483804054695181</v>
      </c>
      <c r="C628" s="16">
        <v>5.4237288135593218</v>
      </c>
      <c r="D628" s="26">
        <v>28</v>
      </c>
      <c r="E628" s="22">
        <v>0.63333893592873602</v>
      </c>
      <c r="F628" s="13"/>
      <c r="G628" s="25">
        <v>14</v>
      </c>
      <c r="H628" s="14">
        <f t="shared" si="9"/>
        <v>19.857142857142858</v>
      </c>
    </row>
    <row r="629" spans="1:8">
      <c r="A629" s="15">
        <v>44505</v>
      </c>
      <c r="B629" s="27">
        <v>-27.494243315641981</v>
      </c>
      <c r="C629" s="16">
        <v>5.4237288135593218</v>
      </c>
      <c r="D629" s="26">
        <v>52</v>
      </c>
      <c r="E629" s="22">
        <v>0.63343002522318603</v>
      </c>
      <c r="F629" s="13"/>
      <c r="G629" s="25">
        <v>25</v>
      </c>
      <c r="H629" s="14">
        <f t="shared" si="9"/>
        <v>20.571428571428573</v>
      </c>
    </row>
    <row r="630" spans="1:8">
      <c r="A630" s="15">
        <v>44506</v>
      </c>
      <c r="B630" s="27">
        <v>-21.089042528613621</v>
      </c>
      <c r="C630" s="16">
        <v>5.4237288135593218</v>
      </c>
      <c r="D630" s="26">
        <v>57</v>
      </c>
      <c r="E630" s="22">
        <v>0.63372570733218403</v>
      </c>
      <c r="F630" s="13"/>
      <c r="G630" s="25">
        <v>29</v>
      </c>
      <c r="H630" s="14">
        <f t="shared" si="9"/>
        <v>22</v>
      </c>
    </row>
    <row r="631" spans="1:8">
      <c r="A631" s="15">
        <v>44507</v>
      </c>
      <c r="B631" s="27">
        <v>-23.884277150065607</v>
      </c>
      <c r="C631" s="16">
        <v>5.4237288135593218</v>
      </c>
      <c r="D631" s="26">
        <v>34</v>
      </c>
      <c r="E631" s="22">
        <v>0.63377136391831701</v>
      </c>
      <c r="F631" s="13"/>
      <c r="G631" s="25">
        <v>20</v>
      </c>
      <c r="H631" s="14">
        <f t="shared" si="9"/>
        <v>21.714285714285715</v>
      </c>
    </row>
    <row r="632" spans="1:8">
      <c r="A632" s="15">
        <v>44508</v>
      </c>
      <c r="B632" s="27">
        <v>-25.899298177320603</v>
      </c>
      <c r="C632" s="16">
        <v>5.4237288135593218</v>
      </c>
      <c r="D632" s="26">
        <v>16</v>
      </c>
      <c r="E632" s="22">
        <v>0.633540517163795</v>
      </c>
      <c r="F632" s="13"/>
      <c r="G632" s="25">
        <v>14</v>
      </c>
      <c r="H632" s="14">
        <f t="shared" si="9"/>
        <v>24.142857142857142</v>
      </c>
    </row>
    <row r="633" spans="1:8">
      <c r="A633" s="15">
        <v>44509</v>
      </c>
      <c r="B633" s="27">
        <v>-27.847985480418814</v>
      </c>
      <c r="C633" s="16">
        <v>5.4237288135593218</v>
      </c>
      <c r="D633" s="26">
        <v>23</v>
      </c>
      <c r="E633" s="22">
        <v>0.63328604648801301</v>
      </c>
      <c r="F633" s="13"/>
      <c r="G633" s="25">
        <v>28</v>
      </c>
      <c r="H633" s="14">
        <f t="shared" si="9"/>
        <v>23.428571428571427</v>
      </c>
    </row>
    <row r="634" spans="1:8">
      <c r="A634" s="15">
        <v>44510</v>
      </c>
      <c r="B634" s="27">
        <v>-26.498818287141425</v>
      </c>
      <c r="C634" s="16">
        <v>5.4237288135593218</v>
      </c>
      <c r="D634" s="26">
        <v>36</v>
      </c>
      <c r="E634" s="22">
        <v>0.63306910138553196</v>
      </c>
      <c r="F634" s="13"/>
      <c r="G634" s="25">
        <v>22</v>
      </c>
      <c r="H634" s="14">
        <f t="shared" si="9"/>
        <v>22.428571428571427</v>
      </c>
    </row>
    <row r="635" spans="1:8">
      <c r="A635" s="15">
        <v>44511</v>
      </c>
      <c r="B635" s="27">
        <v>-26.107352901819151</v>
      </c>
      <c r="C635" s="16">
        <v>5.4237288135593218</v>
      </c>
      <c r="D635" s="26">
        <v>42</v>
      </c>
      <c r="E635" s="22">
        <v>0.63285042961332305</v>
      </c>
      <c r="F635" s="13"/>
      <c r="G635" s="25">
        <v>31</v>
      </c>
      <c r="H635" s="14">
        <f t="shared" si="9"/>
        <v>22.714285714285715</v>
      </c>
    </row>
    <row r="636" spans="1:8">
      <c r="A636" s="15">
        <v>44512</v>
      </c>
      <c r="B636" s="27">
        <v>-25.666158503854163</v>
      </c>
      <c r="C636" s="16">
        <v>5.4237288135593218</v>
      </c>
      <c r="D636" s="26">
        <v>55</v>
      </c>
      <c r="E636" s="22">
        <v>0.632649950430482</v>
      </c>
      <c r="F636" s="13"/>
      <c r="G636" s="25">
        <v>20</v>
      </c>
      <c r="H636" s="14">
        <f t="shared" si="9"/>
        <v>21.714285714285715</v>
      </c>
    </row>
    <row r="637" spans="1:8">
      <c r="A637" s="15">
        <v>44513</v>
      </c>
      <c r="B637" s="27">
        <v>-17.154162321808794</v>
      </c>
      <c r="C637" s="16">
        <v>5.4237288135593218</v>
      </c>
      <c r="D637" s="26">
        <v>47</v>
      </c>
      <c r="E637" s="22">
        <v>0.63259610321022697</v>
      </c>
      <c r="F637" s="13"/>
      <c r="G637" s="25">
        <v>22</v>
      </c>
      <c r="H637" s="14">
        <f t="shared" si="9"/>
        <v>19.857142857142858</v>
      </c>
    </row>
    <row r="638" spans="1:8">
      <c r="A638" s="15">
        <v>44514</v>
      </c>
      <c r="B638" s="27">
        <v>-20.232662423970652</v>
      </c>
      <c r="C638" s="16">
        <v>5.4237288135593218</v>
      </c>
      <c r="D638" s="26">
        <v>33</v>
      </c>
      <c r="E638" s="22">
        <v>0.63228887678885404</v>
      </c>
      <c r="F638" s="13"/>
      <c r="G638" s="25">
        <v>22</v>
      </c>
      <c r="H638" s="14">
        <f t="shared" si="9"/>
        <v>20.428571428571427</v>
      </c>
    </row>
    <row r="639" spans="1:8">
      <c r="A639" s="15">
        <v>44515</v>
      </c>
      <c r="B639" s="27">
        <v>-23.679787148965413</v>
      </c>
      <c r="C639" s="16">
        <v>5.4237288135593218</v>
      </c>
      <c r="D639" s="26">
        <v>28</v>
      </c>
      <c r="E639" s="22">
        <v>0.63173272653564705</v>
      </c>
      <c r="F639" s="13"/>
      <c r="G639" s="25">
        <v>7</v>
      </c>
      <c r="H639" s="14">
        <f t="shared" si="9"/>
        <v>18.857142857142858</v>
      </c>
    </row>
    <row r="640" spans="1:8">
      <c r="A640" s="15">
        <v>44516</v>
      </c>
      <c r="B640" s="27">
        <v>-22.584564991033726</v>
      </c>
      <c r="C640" s="16">
        <v>5.4237288135593218</v>
      </c>
      <c r="D640" s="26">
        <v>21</v>
      </c>
      <c r="E640" s="22">
        <v>0.63113149878389596</v>
      </c>
      <c r="F640" s="13"/>
      <c r="G640" s="25">
        <v>15</v>
      </c>
      <c r="H640" s="14">
        <f t="shared" si="9"/>
        <v>18.285714285714285</v>
      </c>
    </row>
    <row r="641" spans="1:8">
      <c r="A641" s="15">
        <v>44517</v>
      </c>
      <c r="B641" s="27">
        <v>-24.142148199711734</v>
      </c>
      <c r="C641" s="16">
        <v>5.4237288135593218</v>
      </c>
      <c r="D641" s="26">
        <v>26</v>
      </c>
      <c r="E641" s="22">
        <v>0.63044559284527202</v>
      </c>
      <c r="F641" s="13"/>
      <c r="G641" s="25">
        <v>26</v>
      </c>
      <c r="H641" s="14">
        <f t="shared" si="9"/>
        <v>17.428571428571427</v>
      </c>
    </row>
    <row r="642" spans="1:8">
      <c r="A642" s="15">
        <v>44518</v>
      </c>
      <c r="B642" s="27">
        <v>-23.916577369852863</v>
      </c>
      <c r="C642" s="16">
        <v>5.4237288135593218</v>
      </c>
      <c r="D642" s="26">
        <v>40</v>
      </c>
      <c r="E642" s="22">
        <v>0.62984819870381503</v>
      </c>
      <c r="F642" s="13"/>
      <c r="G642" s="25">
        <v>20</v>
      </c>
      <c r="H642" s="14">
        <f t="shared" si="9"/>
        <v>17.142857142857142</v>
      </c>
    </row>
    <row r="643" spans="1:8">
      <c r="A643" s="15">
        <v>44519</v>
      </c>
      <c r="B643" s="27">
        <v>-22.904901981834968</v>
      </c>
      <c r="C643" s="16">
        <v>5.4237288135593218</v>
      </c>
      <c r="D643" s="26">
        <v>67</v>
      </c>
      <c r="E643" s="22">
        <v>0.62931531208487301</v>
      </c>
      <c r="F643" s="13"/>
      <c r="G643" s="25">
        <v>16</v>
      </c>
      <c r="H643" s="14">
        <f t="shared" si="9"/>
        <v>17</v>
      </c>
    </row>
    <row r="644" spans="1:8">
      <c r="A644" s="15">
        <v>44520</v>
      </c>
      <c r="B644" s="27">
        <v>-14.131155909110776</v>
      </c>
      <c r="C644" s="16">
        <v>5.4237288135593218</v>
      </c>
      <c r="D644" s="26">
        <v>79</v>
      </c>
      <c r="E644" s="22">
        <v>0.62887953961693099</v>
      </c>
      <c r="F644" s="13"/>
      <c r="G644" s="25">
        <v>16</v>
      </c>
      <c r="H644" s="14">
        <f t="shared" si="9"/>
        <v>17.142857142857142</v>
      </c>
    </row>
    <row r="645" spans="1:8">
      <c r="A645" s="15">
        <v>44521</v>
      </c>
      <c r="B645" s="27">
        <v>-17.125603854486926</v>
      </c>
      <c r="C645" s="16">
        <v>5.4237288135593218</v>
      </c>
      <c r="D645" s="26">
        <v>42</v>
      </c>
      <c r="E645" s="22">
        <v>0.62830806205852396</v>
      </c>
      <c r="F645" s="13"/>
      <c r="G645" s="25">
        <v>20</v>
      </c>
      <c r="H645" s="14">
        <f t="shared" si="9"/>
        <v>14.142857142857142</v>
      </c>
    </row>
    <row r="646" spans="1:8">
      <c r="A646" s="15">
        <v>44522</v>
      </c>
      <c r="B646" s="27">
        <v>-21.902827192552259</v>
      </c>
      <c r="C646" s="16">
        <v>5.4237288135593218</v>
      </c>
      <c r="D646" s="26">
        <v>55</v>
      </c>
      <c r="E646" s="22">
        <v>0.62757638847460095</v>
      </c>
      <c r="F646" s="13"/>
      <c r="G646" s="25">
        <v>6</v>
      </c>
      <c r="H646" s="14">
        <f t="shared" si="9"/>
        <v>15</v>
      </c>
    </row>
    <row r="647" spans="1:8">
      <c r="A647" s="15">
        <v>44523</v>
      </c>
      <c r="B647" s="27">
        <v>-30.782452131659628</v>
      </c>
      <c r="C647" s="16">
        <v>5.4237288135593218</v>
      </c>
      <c r="D647" s="26">
        <v>28</v>
      </c>
      <c r="E647" s="22">
        <v>0.62684432460470296</v>
      </c>
      <c r="F647" s="13"/>
      <c r="G647" s="25">
        <v>16</v>
      </c>
      <c r="H647" s="14">
        <f t="shared" si="9"/>
        <v>15.428571428571429</v>
      </c>
    </row>
    <row r="648" spans="1:8">
      <c r="A648" s="15">
        <v>44524</v>
      </c>
      <c r="B648" s="27">
        <v>-24.200998788513619</v>
      </c>
      <c r="C648" s="16">
        <v>5.4237288135593218</v>
      </c>
      <c r="D648" s="26">
        <v>31</v>
      </c>
      <c r="E648" s="22">
        <v>0.62607238804852605</v>
      </c>
      <c r="F648" s="13"/>
      <c r="G648" s="25">
        <v>5</v>
      </c>
      <c r="H648" s="14">
        <f t="shared" si="9"/>
        <v>15.428571428571429</v>
      </c>
    </row>
    <row r="649" spans="1:8">
      <c r="A649" s="15">
        <v>44525</v>
      </c>
      <c r="B649" s="27">
        <v>-23.511448471364833</v>
      </c>
      <c r="C649" s="16">
        <v>5.4237288135593218</v>
      </c>
      <c r="D649" s="26">
        <v>36</v>
      </c>
      <c r="E649" s="22">
        <v>0.62529008933782104</v>
      </c>
      <c r="F649" s="13"/>
      <c r="G649" s="25">
        <v>26</v>
      </c>
      <c r="H649" s="14">
        <f t="shared" si="9"/>
        <v>13.714285714285714</v>
      </c>
    </row>
    <row r="650" spans="1:8">
      <c r="A650" s="15">
        <v>44526</v>
      </c>
      <c r="B650" s="27">
        <v>-22.437567871617642</v>
      </c>
      <c r="C650" s="16">
        <v>5.4237288135593218</v>
      </c>
      <c r="D650" s="26">
        <v>89</v>
      </c>
      <c r="E650" s="22">
        <v>0.62456198006480701</v>
      </c>
      <c r="F650" s="13"/>
      <c r="G650" s="25">
        <v>19</v>
      </c>
      <c r="H650" s="14">
        <f t="shared" si="9"/>
        <v>14</v>
      </c>
    </row>
    <row r="651" spans="1:8">
      <c r="A651" s="15">
        <v>44527</v>
      </c>
      <c r="B651" s="27">
        <v>-15.352152031520253</v>
      </c>
      <c r="C651" s="16">
        <v>5.4237288135593218</v>
      </c>
      <c r="D651" s="26">
        <v>60</v>
      </c>
      <c r="E651" s="22">
        <v>0.62384011913917903</v>
      </c>
      <c r="F651" s="13"/>
      <c r="G651" s="25">
        <v>16</v>
      </c>
      <c r="H651" s="14">
        <f t="shared" si="9"/>
        <v>14.571428571428571</v>
      </c>
    </row>
    <row r="652" spans="1:8">
      <c r="A652" s="15">
        <v>44528</v>
      </c>
      <c r="B652" s="27">
        <v>-17.214227865951624</v>
      </c>
      <c r="C652" s="16">
        <v>5.4237288135593218</v>
      </c>
      <c r="D652" s="26">
        <v>47</v>
      </c>
      <c r="E652" s="22">
        <v>0.62301084739082602</v>
      </c>
      <c r="F652" s="13"/>
      <c r="G652" s="25">
        <v>8</v>
      </c>
      <c r="H652" s="14">
        <f t="shared" si="9"/>
        <v>16.857142857142858</v>
      </c>
    </row>
    <row r="653" spans="1:8">
      <c r="A653" s="15">
        <v>44529</v>
      </c>
      <c r="B653" s="27">
        <v>-22.345633884388967</v>
      </c>
      <c r="C653" s="16">
        <v>5.4237288135593218</v>
      </c>
      <c r="D653" s="26">
        <v>42</v>
      </c>
      <c r="E653" s="22">
        <v>0.622150986091773</v>
      </c>
      <c r="F653" s="13"/>
      <c r="G653" s="25">
        <v>8</v>
      </c>
      <c r="H653" s="14">
        <f t="shared" si="9"/>
        <v>14.714285714285714</v>
      </c>
    </row>
    <row r="654" spans="1:8">
      <c r="A654" s="15">
        <v>44530</v>
      </c>
      <c r="B654" s="27">
        <v>-22.445587724879967</v>
      </c>
      <c r="C654" s="16">
        <v>5.4237288135593218</v>
      </c>
      <c r="D654" s="26">
        <v>36</v>
      </c>
      <c r="E654" s="22">
        <v>0.62128843874909001</v>
      </c>
      <c r="F654" s="13"/>
      <c r="G654" s="25">
        <v>20</v>
      </c>
      <c r="H654" s="14">
        <f t="shared" si="9"/>
        <v>13.857142857142858</v>
      </c>
    </row>
    <row r="655" spans="1:8">
      <c r="A655" s="15">
        <v>44531</v>
      </c>
      <c r="B655" s="27">
        <v>-25.262990745135511</v>
      </c>
      <c r="C655" s="16">
        <v>5.4237288135593218</v>
      </c>
      <c r="D655" s="26">
        <v>46</v>
      </c>
      <c r="E655" s="22">
        <v>0.62041354822033201</v>
      </c>
      <c r="F655" s="13"/>
      <c r="G655" s="25">
        <v>21</v>
      </c>
      <c r="H655" s="14">
        <f t="shared" si="9"/>
        <v>14.285714285714286</v>
      </c>
    </row>
    <row r="656" spans="1:8">
      <c r="A656" s="15">
        <v>44532</v>
      </c>
      <c r="B656" s="27">
        <v>-24.341239765333881</v>
      </c>
      <c r="C656" s="16">
        <v>5.4237288135593218</v>
      </c>
      <c r="D656" s="26">
        <v>60</v>
      </c>
      <c r="E656" s="22">
        <v>0.61954084040871105</v>
      </c>
      <c r="F656" s="13"/>
      <c r="G656" s="25">
        <v>11</v>
      </c>
      <c r="H656" s="14">
        <f t="shared" si="9"/>
        <v>15.714285714285714</v>
      </c>
    </row>
    <row r="657" spans="1:8">
      <c r="A657" s="15">
        <v>44533</v>
      </c>
      <c r="B657" s="27">
        <v>-23.23039295104655</v>
      </c>
      <c r="C657" s="16">
        <v>5.4237288135593218</v>
      </c>
      <c r="D657" s="26">
        <v>84</v>
      </c>
      <c r="E657" s="22">
        <v>0.61870289880624596</v>
      </c>
      <c r="F657" s="13"/>
      <c r="G657" s="25">
        <v>13</v>
      </c>
      <c r="H657" s="14">
        <f t="shared" si="9"/>
        <v>15.571428571428571</v>
      </c>
    </row>
    <row r="658" spans="1:8">
      <c r="A658" s="15">
        <v>44534</v>
      </c>
      <c r="B658" s="27">
        <v>-14.384432504324044</v>
      </c>
      <c r="C658" s="16">
        <v>5.4237288135593218</v>
      </c>
      <c r="D658" s="26">
        <v>81</v>
      </c>
      <c r="E658" s="22">
        <v>0.61614460403694504</v>
      </c>
      <c r="F658" s="13"/>
      <c r="G658" s="25">
        <v>19</v>
      </c>
      <c r="H658" s="14">
        <f t="shared" si="9"/>
        <v>15.142857142857142</v>
      </c>
    </row>
    <row r="659" spans="1:8">
      <c r="A659" s="15">
        <v>44535</v>
      </c>
      <c r="B659" s="27">
        <v>-17.314136696492248</v>
      </c>
      <c r="C659" s="16">
        <v>5.4237288135593218</v>
      </c>
      <c r="D659" s="26">
        <v>61</v>
      </c>
      <c r="E659" s="22">
        <v>0.61347493126347397</v>
      </c>
      <c r="F659" s="13"/>
      <c r="G659" s="25">
        <v>18</v>
      </c>
      <c r="H659" s="14">
        <f t="shared" si="9"/>
        <v>15.142857142857142</v>
      </c>
    </row>
    <row r="660" spans="1:8">
      <c r="A660" s="15">
        <v>44536</v>
      </c>
      <c r="B660" s="27">
        <v>-21.944237615489982</v>
      </c>
      <c r="C660" s="16">
        <v>5.4237288135593218</v>
      </c>
      <c r="D660" s="26">
        <v>48</v>
      </c>
      <c r="E660" s="22">
        <v>0.61072770508312102</v>
      </c>
      <c r="F660" s="13"/>
      <c r="G660" s="25">
        <v>7</v>
      </c>
      <c r="H660" s="14">
        <f t="shared" si="9"/>
        <v>15.714285714285714</v>
      </c>
    </row>
    <row r="661" spans="1:8">
      <c r="A661" s="15">
        <v>44537</v>
      </c>
      <c r="B661" s="27">
        <v>-22.470498062127611</v>
      </c>
      <c r="C661" s="16">
        <v>5.4237288135593218</v>
      </c>
      <c r="D661" s="26">
        <v>54</v>
      </c>
      <c r="E661" s="22">
        <v>0.60790486076605299</v>
      </c>
      <c r="F661" s="13"/>
      <c r="G661" s="25">
        <v>17</v>
      </c>
      <c r="H661" s="14">
        <f t="shared" ref="H661:H682" si="10">SUM(G658:G664)/7</f>
        <v>17.428571428571427</v>
      </c>
    </row>
    <row r="662" spans="1:8">
      <c r="A662" s="15">
        <v>44538</v>
      </c>
      <c r="B662" s="27">
        <v>-25.800724941750104</v>
      </c>
      <c r="C662" s="16">
        <v>5.4237288135593218</v>
      </c>
      <c r="D662" s="26">
        <v>55</v>
      </c>
      <c r="E662" s="22">
        <v>0.60517314687036805</v>
      </c>
      <c r="F662" s="13"/>
      <c r="G662" s="25">
        <v>21</v>
      </c>
      <c r="H662" s="14">
        <f t="shared" si="10"/>
        <v>17.571428571428573</v>
      </c>
    </row>
    <row r="663" spans="1:8">
      <c r="A663" s="15">
        <v>44539</v>
      </c>
      <c r="B663" s="27">
        <v>-22.532444895205568</v>
      </c>
      <c r="C663" s="16">
        <v>5.4237288135593218</v>
      </c>
      <c r="D663" s="26">
        <v>86</v>
      </c>
      <c r="E663" s="22">
        <v>0.60239779063582799</v>
      </c>
      <c r="F663" s="13"/>
      <c r="G663" s="25">
        <v>15</v>
      </c>
      <c r="H663" s="14">
        <f t="shared" si="10"/>
        <v>16.857142857142858</v>
      </c>
    </row>
    <row r="664" spans="1:8">
      <c r="A664" s="15">
        <v>44540</v>
      </c>
      <c r="B664" s="27">
        <v>-19.981859693709907</v>
      </c>
      <c r="C664" s="16">
        <v>5.4237288135593218</v>
      </c>
      <c r="D664" s="26">
        <v>160</v>
      </c>
      <c r="E664" s="22">
        <v>0.59963006586808498</v>
      </c>
      <c r="F664" s="13"/>
      <c r="G664" s="25">
        <v>25</v>
      </c>
      <c r="H664" s="14">
        <f t="shared" si="10"/>
        <v>16.857142857142858</v>
      </c>
    </row>
    <row r="665" spans="1:8">
      <c r="A665" s="15">
        <v>44541</v>
      </c>
      <c r="B665" s="27">
        <v>-8.3653864165693612</v>
      </c>
      <c r="C665" s="16">
        <v>5.4430992736077481</v>
      </c>
      <c r="D665" s="26">
        <v>162</v>
      </c>
      <c r="E665" s="22">
        <v>0.59731640734991198</v>
      </c>
      <c r="F665" s="13"/>
      <c r="G665" s="25">
        <v>20</v>
      </c>
      <c r="H665" s="14">
        <f t="shared" si="10"/>
        <v>17.857142857142858</v>
      </c>
    </row>
    <row r="666" spans="1:8">
      <c r="A666" s="15">
        <v>44542</v>
      </c>
      <c r="B666" s="27">
        <v>-12.780609117200484</v>
      </c>
      <c r="C666" s="16">
        <v>5.4678934624697328</v>
      </c>
      <c r="D666" s="26">
        <v>101</v>
      </c>
      <c r="E666" s="22">
        <v>0.59493311240315505</v>
      </c>
      <c r="F666" s="13"/>
      <c r="G666" s="25">
        <v>13</v>
      </c>
      <c r="H666" s="14">
        <f t="shared" si="10"/>
        <v>19</v>
      </c>
    </row>
    <row r="667" spans="1:8">
      <c r="A667" s="15">
        <v>44543</v>
      </c>
      <c r="B667" s="27">
        <v>-20.165196182791593</v>
      </c>
      <c r="C667" s="16">
        <v>5.4952445520581108</v>
      </c>
      <c r="D667" s="26">
        <v>66</v>
      </c>
      <c r="E667" s="22">
        <v>0.55631496293635641</v>
      </c>
      <c r="F667" s="13"/>
      <c r="G667" s="25">
        <v>7</v>
      </c>
      <c r="H667" s="14">
        <f t="shared" si="10"/>
        <v>21.142857142857142</v>
      </c>
    </row>
    <row r="668" spans="1:8">
      <c r="A668" s="15">
        <v>44544</v>
      </c>
      <c r="B668" s="27">
        <v>-20.027585758084111</v>
      </c>
      <c r="C668" s="16">
        <v>5.5311961259079894</v>
      </c>
      <c r="D668" s="26">
        <v>74</v>
      </c>
      <c r="E668" s="22">
        <v>0.56985103666270887</v>
      </c>
      <c r="F668" s="13"/>
      <c r="G668" s="25">
        <v>24</v>
      </c>
      <c r="H668" s="14">
        <f t="shared" si="10"/>
        <v>20.142857142857142</v>
      </c>
    </row>
    <row r="669" spans="1:8">
      <c r="A669" s="15">
        <v>44545</v>
      </c>
      <c r="B669" s="27">
        <v>-19.001148805280813</v>
      </c>
      <c r="C669" s="16">
        <v>5.5795447941888625</v>
      </c>
      <c r="D669" s="26">
        <v>102</v>
      </c>
      <c r="E669" s="22">
        <v>0.56730922483676882</v>
      </c>
      <c r="F669" s="13"/>
      <c r="G669" s="25">
        <v>29</v>
      </c>
      <c r="H669" s="14">
        <f t="shared" si="10"/>
        <v>21.285714285714285</v>
      </c>
    </row>
    <row r="670" spans="1:8">
      <c r="A670" s="15">
        <v>44546</v>
      </c>
      <c r="B670" s="27">
        <v>-19.196770091087963</v>
      </c>
      <c r="C670" s="16">
        <v>5.6394382566585959</v>
      </c>
      <c r="D670" s="26">
        <v>133</v>
      </c>
      <c r="E670" s="22">
        <v>0.56476135293747987</v>
      </c>
      <c r="F670" s="13"/>
      <c r="G670" s="25">
        <v>30</v>
      </c>
      <c r="H670" s="14">
        <f t="shared" si="10"/>
        <v>24.142857142857142</v>
      </c>
    </row>
    <row r="671" spans="1:8">
      <c r="A671" s="15">
        <v>44547</v>
      </c>
      <c r="B671" s="27">
        <v>-19.643160395312933</v>
      </c>
      <c r="C671" s="16">
        <v>5.7107215496368031</v>
      </c>
      <c r="D671" s="26">
        <v>221</v>
      </c>
      <c r="E671" s="22">
        <v>0.54669230633293653</v>
      </c>
      <c r="F671" s="13"/>
      <c r="G671" s="25">
        <v>18</v>
      </c>
      <c r="H671" s="14">
        <f t="shared" si="10"/>
        <v>24.714285714285715</v>
      </c>
    </row>
    <row r="672" spans="1:8">
      <c r="A672" s="15">
        <v>44548</v>
      </c>
      <c r="B672" s="27">
        <v>-5.1198556362432948</v>
      </c>
      <c r="C672" s="16">
        <v>5.7975012106537518</v>
      </c>
      <c r="D672" s="26">
        <v>141</v>
      </c>
      <c r="E672" s="22">
        <v>0.53224404679877313</v>
      </c>
      <c r="F672" s="13"/>
      <c r="G672" s="25">
        <v>28</v>
      </c>
      <c r="H672" s="14">
        <f t="shared" si="10"/>
        <v>26.571428571428573</v>
      </c>
    </row>
    <row r="673" spans="1:8">
      <c r="A673" s="15">
        <v>44549</v>
      </c>
      <c r="B673" s="27">
        <v>-9.12157016802926</v>
      </c>
      <c r="C673" s="16">
        <v>5.8889297820823234</v>
      </c>
      <c r="D673" s="26">
        <v>103</v>
      </c>
      <c r="E673" s="22">
        <v>0.47889630251572857</v>
      </c>
      <c r="F673" s="13"/>
      <c r="G673" s="25">
        <v>33</v>
      </c>
      <c r="H673" s="14">
        <f t="shared" si="10"/>
        <v>28</v>
      </c>
    </row>
    <row r="674" spans="1:8">
      <c r="A674" s="15">
        <v>44550</v>
      </c>
      <c r="B674" s="27">
        <v>-16.646515298302937</v>
      </c>
      <c r="C674" s="16">
        <v>5.9878740920096849</v>
      </c>
      <c r="D674" s="26">
        <v>108</v>
      </c>
      <c r="E674" s="22">
        <v>0.44658543903005377</v>
      </c>
      <c r="F674" s="13"/>
      <c r="G674" s="25">
        <v>11</v>
      </c>
      <c r="H674" s="14">
        <f t="shared" si="10"/>
        <v>28.857142857142858</v>
      </c>
    </row>
    <row r="675" spans="1:8">
      <c r="A675" s="15">
        <v>44551</v>
      </c>
      <c r="B675" s="27">
        <v>-16.180764447272516</v>
      </c>
      <c r="C675" s="16">
        <v>6.0882905569007262</v>
      </c>
      <c r="D675" s="26">
        <v>95</v>
      </c>
      <c r="E675" s="22">
        <v>0.40952016660008561</v>
      </c>
      <c r="F675" s="13"/>
      <c r="G675" s="25">
        <v>37</v>
      </c>
      <c r="H675" s="14">
        <f t="shared" si="10"/>
        <v>31.428571428571427</v>
      </c>
    </row>
    <row r="676" spans="1:8">
      <c r="A676" s="15">
        <v>44552</v>
      </c>
      <c r="B676" s="27">
        <v>-16.63208178908576</v>
      </c>
      <c r="C676" s="16">
        <v>6.1918062953995161</v>
      </c>
      <c r="D676" s="26">
        <v>105</v>
      </c>
      <c r="E676" s="22">
        <v>0.38450830383325046</v>
      </c>
      <c r="F676" s="13"/>
      <c r="G676" s="25">
        <v>39</v>
      </c>
      <c r="H676" s="14">
        <f t="shared" si="10"/>
        <v>32.714285714285715</v>
      </c>
    </row>
    <row r="677" spans="1:8">
      <c r="A677" s="15">
        <v>44553</v>
      </c>
      <c r="B677" s="27">
        <v>-15.430628453770781</v>
      </c>
      <c r="C677" s="16">
        <v>6.3039225181598058</v>
      </c>
      <c r="D677" s="26">
        <v>166</v>
      </c>
      <c r="E677" s="22">
        <v>0.36223559748386408</v>
      </c>
      <c r="F677" s="13"/>
      <c r="G677" s="25">
        <v>36</v>
      </c>
      <c r="H677" s="14">
        <f t="shared" si="10"/>
        <v>34.142857142857146</v>
      </c>
    </row>
    <row r="678" spans="1:8">
      <c r="A678" s="15">
        <v>44554</v>
      </c>
      <c r="B678" s="27">
        <v>-16.400125186331788</v>
      </c>
      <c r="C678" s="16">
        <v>6.4247941888619859</v>
      </c>
      <c r="D678" s="26">
        <v>107</v>
      </c>
      <c r="E678" s="22">
        <v>0.33107269897694047</v>
      </c>
      <c r="F678" s="13"/>
      <c r="G678" s="25">
        <v>36</v>
      </c>
      <c r="H678" s="14">
        <f t="shared" si="10"/>
        <v>37.571428571428569</v>
      </c>
    </row>
    <row r="679" spans="1:8">
      <c r="A679" s="15">
        <v>44555</v>
      </c>
      <c r="B679" s="27">
        <v>-8.7172418530012301</v>
      </c>
      <c r="C679" s="16">
        <v>6.5557384987893466</v>
      </c>
      <c r="D679" s="26">
        <v>66</v>
      </c>
      <c r="E679" s="22">
        <v>0.30442364118677706</v>
      </c>
      <c r="F679" s="13"/>
      <c r="G679" s="25">
        <v>37</v>
      </c>
      <c r="H679" s="14">
        <f t="shared" si="10"/>
        <v>38.714285714285715</v>
      </c>
    </row>
    <row r="680" spans="1:8">
      <c r="A680" s="15">
        <v>44556</v>
      </c>
      <c r="B680" s="27">
        <v>-11.693618010571246</v>
      </c>
      <c r="C680" s="16">
        <v>6.7014043583535097</v>
      </c>
      <c r="D680" s="26">
        <v>145</v>
      </c>
      <c r="E680" s="22">
        <v>0.32462577133568887</v>
      </c>
      <c r="F680" s="13"/>
      <c r="G680" s="25">
        <v>43</v>
      </c>
      <c r="H680" s="14">
        <f t="shared" si="10"/>
        <v>44</v>
      </c>
    </row>
    <row r="681" spans="1:8">
      <c r="A681" s="15">
        <v>44557</v>
      </c>
      <c r="B681" s="27">
        <v>-14.279438556463331</v>
      </c>
      <c r="C681" s="16">
        <v>6.8617917675544788</v>
      </c>
      <c r="D681" s="26">
        <v>167</v>
      </c>
      <c r="E681" s="22">
        <v>0.31884872487510729</v>
      </c>
      <c r="F681" s="13"/>
      <c r="G681" s="25">
        <v>35</v>
      </c>
      <c r="H681" s="14">
        <f t="shared" si="10"/>
        <v>47.857142857142854</v>
      </c>
    </row>
    <row r="682" spans="1:8">
      <c r="A682" s="15">
        <v>44558</v>
      </c>
      <c r="B682" s="27">
        <v>-13.904342858795626</v>
      </c>
      <c r="C682" s="16">
        <v>7.043874092009685</v>
      </c>
      <c r="D682" s="26">
        <v>237</v>
      </c>
      <c r="E682" s="22">
        <v>0.30894883901733861</v>
      </c>
      <c r="F682" s="13"/>
      <c r="G682" s="25">
        <v>45</v>
      </c>
      <c r="H682" s="14">
        <f t="shared" si="10"/>
        <v>53.857142857142854</v>
      </c>
    </row>
    <row r="683" spans="1:8">
      <c r="A683" s="15">
        <v>44559</v>
      </c>
      <c r="B683" s="27">
        <v>-22.549351790363755</v>
      </c>
      <c r="C683" s="16">
        <v>7.2492009685230014</v>
      </c>
      <c r="D683" s="26">
        <v>275</v>
      </c>
      <c r="E683" s="22">
        <v>0.28740148516559483</v>
      </c>
      <c r="F683" s="13"/>
      <c r="G683" s="25">
        <v>76</v>
      </c>
      <c r="H683" s="14"/>
    </row>
    <row r="684" spans="1:8">
      <c r="A684" s="15">
        <v>44560</v>
      </c>
      <c r="B684" s="27">
        <v>-31.539368164362212</v>
      </c>
      <c r="C684" s="16">
        <v>7.4723486682808709</v>
      </c>
      <c r="D684" s="26">
        <v>257</v>
      </c>
      <c r="E684" s="22">
        <v>0.2665100383152712</v>
      </c>
      <c r="F684" s="13"/>
      <c r="G684" s="25">
        <v>63</v>
      </c>
      <c r="H684" s="14"/>
    </row>
    <row r="685" spans="1:8">
      <c r="A685" s="15">
        <v>44561</v>
      </c>
      <c r="B685" s="27">
        <v>-58.127969840764806</v>
      </c>
      <c r="C685" s="16">
        <v>7.7140920096852303</v>
      </c>
      <c r="D685" s="26">
        <v>109</v>
      </c>
      <c r="E685" s="22">
        <v>0.2729214504247307</v>
      </c>
      <c r="F685" s="13"/>
      <c r="G685" s="25">
        <v>78</v>
      </c>
      <c r="H685" s="14"/>
    </row>
  </sheetData>
  <mergeCells count="1">
    <mergeCell ref="B1:E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workbookViewId="0">
      <selection activeCell="B3" sqref="B3:B220"/>
    </sheetView>
  </sheetViews>
  <sheetFormatPr defaultRowHeight="18.75"/>
  <cols>
    <col min="1" max="1" width="9" style="2" customWidth="1"/>
    <col min="4" max="4" width="9" style="7" customWidth="1"/>
  </cols>
  <sheetData>
    <row r="1" spans="1:9">
      <c r="A1" s="7" t="s">
        <v>0</v>
      </c>
      <c r="B1" s="46" t="s">
        <v>1</v>
      </c>
      <c r="C1" s="47"/>
      <c r="D1" s="47"/>
      <c r="E1" s="47"/>
      <c r="G1" s="7" t="s">
        <v>2</v>
      </c>
      <c r="I1" t="s">
        <v>4</v>
      </c>
    </row>
    <row r="2" spans="1:9">
      <c r="B2" s="4">
        <v>4</v>
      </c>
      <c r="C2" s="4">
        <v>13</v>
      </c>
      <c r="D2" s="4">
        <v>14</v>
      </c>
      <c r="E2" s="4">
        <v>22</v>
      </c>
      <c r="F2" s="5"/>
      <c r="G2" s="6">
        <v>17</v>
      </c>
    </row>
    <row r="3" spans="1:9">
      <c r="A3" s="9">
        <v>44562</v>
      </c>
      <c r="B3" s="45">
        <v>-70.739060324318928</v>
      </c>
      <c r="C3" s="44">
        <v>7.9604842615012092</v>
      </c>
      <c r="D3" s="42">
        <v>50</v>
      </c>
      <c r="E3" s="41">
        <v>0.27359551999999998</v>
      </c>
      <c r="F3" s="3"/>
      <c r="G3" s="39">
        <v>78</v>
      </c>
    </row>
    <row r="4" spans="1:9">
      <c r="A4" s="10">
        <v>44563</v>
      </c>
      <c r="B4" s="45">
        <v>-40.604263879797166</v>
      </c>
      <c r="C4" s="44">
        <v>8.2308958837772401</v>
      </c>
      <c r="D4" s="42">
        <v>77</v>
      </c>
      <c r="E4" s="41">
        <v>0.26865393999999998</v>
      </c>
      <c r="G4" s="39">
        <v>82</v>
      </c>
      <c r="I4">
        <f>C4-C3</f>
        <v>0.27041162227603088</v>
      </c>
    </row>
    <row r="5" spans="1:9">
      <c r="A5" s="10">
        <v>44564</v>
      </c>
      <c r="B5" s="45">
        <v>-45.452868986405036</v>
      </c>
      <c r="C5" s="44">
        <v>8.5261016949152548</v>
      </c>
      <c r="D5" s="42">
        <v>75</v>
      </c>
      <c r="E5" s="41">
        <v>0.28168926</v>
      </c>
      <c r="G5" s="39">
        <v>103</v>
      </c>
      <c r="I5" s="23">
        <f t="shared" ref="I5:I68" si="0">C5-C4</f>
        <v>0.2952058111380147</v>
      </c>
    </row>
    <row r="6" spans="1:9">
      <c r="A6" s="10">
        <v>44565</v>
      </c>
      <c r="B6" s="45">
        <v>-32.839199976861231</v>
      </c>
      <c r="C6" s="44">
        <v>8.8251815980629544</v>
      </c>
      <c r="D6" s="42">
        <v>62</v>
      </c>
      <c r="E6" s="41">
        <v>0.29373083</v>
      </c>
      <c r="G6" s="39">
        <v>151</v>
      </c>
      <c r="I6" s="23">
        <f t="shared" si="0"/>
        <v>0.29907990314769961</v>
      </c>
    </row>
    <row r="7" spans="1:9">
      <c r="A7" s="10">
        <v>44566</v>
      </c>
      <c r="B7" s="45">
        <v>-29.537006051163793</v>
      </c>
      <c r="C7" s="44">
        <v>9.1079903147699763</v>
      </c>
      <c r="D7" s="42">
        <v>62</v>
      </c>
      <c r="E7" s="41">
        <v>0.30456662000000001</v>
      </c>
      <c r="G7" s="39">
        <v>388</v>
      </c>
      <c r="I7" s="23">
        <f t="shared" si="0"/>
        <v>0.2828087167070219</v>
      </c>
    </row>
    <row r="8" spans="1:9">
      <c r="A8" s="10">
        <v>44567</v>
      </c>
      <c r="B8" s="45">
        <v>-34.253203476128299</v>
      </c>
      <c r="C8" s="44">
        <v>9.3745278450363205</v>
      </c>
      <c r="D8" s="42">
        <v>73</v>
      </c>
      <c r="E8" s="41">
        <v>0.31347068</v>
      </c>
      <c r="G8" s="39">
        <v>640</v>
      </c>
      <c r="I8" s="23">
        <f t="shared" si="0"/>
        <v>0.26653753026634419</v>
      </c>
    </row>
    <row r="9" spans="1:9">
      <c r="A9" s="10">
        <v>44568</v>
      </c>
      <c r="B9" s="45">
        <v>-31.746414394085793</v>
      </c>
      <c r="C9" s="44">
        <v>9.6402905569007267</v>
      </c>
      <c r="D9" s="42">
        <v>57</v>
      </c>
      <c r="E9" s="41">
        <v>0.31941170000000002</v>
      </c>
      <c r="G9" s="39">
        <v>920</v>
      </c>
      <c r="I9" s="23">
        <f t="shared" si="0"/>
        <v>0.26576271186440614</v>
      </c>
    </row>
    <row r="10" spans="1:9">
      <c r="A10" s="10">
        <v>44569</v>
      </c>
      <c r="B10" s="45">
        <v>-25.175654538529262</v>
      </c>
      <c r="C10" s="44">
        <v>9.840968523002422</v>
      </c>
      <c r="D10" s="42">
        <v>77</v>
      </c>
      <c r="E10" s="41">
        <v>0.33257867000000002</v>
      </c>
      <c r="G10" s="39">
        <v>1223</v>
      </c>
      <c r="I10" s="23">
        <f t="shared" si="0"/>
        <v>0.2006779661016953</v>
      </c>
    </row>
    <row r="11" spans="1:9">
      <c r="A11" s="10">
        <v>44570</v>
      </c>
      <c r="B11" s="45">
        <v>-23.140963935669742</v>
      </c>
      <c r="C11" s="44">
        <v>10.008329297820824</v>
      </c>
      <c r="D11" s="42">
        <v>68</v>
      </c>
      <c r="E11" s="41">
        <v>0.33542528999999999</v>
      </c>
      <c r="G11" s="39">
        <v>1223</v>
      </c>
      <c r="I11" s="23">
        <f t="shared" si="0"/>
        <v>0.16736077481840184</v>
      </c>
    </row>
    <row r="12" spans="1:9">
      <c r="A12" s="10">
        <v>44571</v>
      </c>
      <c r="B12" s="45">
        <v>-40.872598679321555</v>
      </c>
      <c r="C12" s="44">
        <v>10.142372881355934</v>
      </c>
      <c r="D12" s="42">
        <v>42</v>
      </c>
      <c r="E12" s="41">
        <v>0.33602315999999999</v>
      </c>
      <c r="G12" s="39">
        <v>871</v>
      </c>
      <c r="I12" s="23">
        <f t="shared" si="0"/>
        <v>0.13404358353511014</v>
      </c>
    </row>
    <row r="13" spans="1:9">
      <c r="A13" s="10">
        <v>44572</v>
      </c>
      <c r="B13" s="45">
        <v>-27.966499392607165</v>
      </c>
      <c r="C13" s="44">
        <v>10.256271186440676</v>
      </c>
      <c r="D13" s="42">
        <v>29</v>
      </c>
      <c r="E13" s="41">
        <v>0.33565188000000001</v>
      </c>
      <c r="G13" s="39">
        <v>959</v>
      </c>
      <c r="I13" s="23">
        <f t="shared" si="0"/>
        <v>0.11389830508474219</v>
      </c>
    </row>
    <row r="14" spans="1:9">
      <c r="A14" s="10">
        <v>44573</v>
      </c>
      <c r="B14" s="45">
        <v>-28.572552851485138</v>
      </c>
      <c r="C14" s="44">
        <v>10.356997578692495</v>
      </c>
      <c r="D14" s="42">
        <v>31</v>
      </c>
      <c r="E14" s="41">
        <v>0.33470498999999998</v>
      </c>
      <c r="G14" s="39">
        <v>2196</v>
      </c>
      <c r="I14" s="23">
        <f t="shared" si="0"/>
        <v>0.10072639225181845</v>
      </c>
    </row>
    <row r="15" spans="1:9">
      <c r="A15" s="10">
        <v>44574</v>
      </c>
      <c r="B15" s="45">
        <v>-29.261665095065915</v>
      </c>
      <c r="C15" s="44">
        <v>10.439128329297819</v>
      </c>
      <c r="D15" s="42">
        <v>35</v>
      </c>
      <c r="E15" s="41">
        <v>0.33324369999999998</v>
      </c>
      <c r="G15" s="39">
        <v>3121</v>
      </c>
      <c r="I15" s="23">
        <f t="shared" si="0"/>
        <v>8.213075060532482E-2</v>
      </c>
    </row>
    <row r="16" spans="1:9">
      <c r="A16" s="10">
        <v>44575</v>
      </c>
      <c r="B16" s="45">
        <v>-30.142871178449731</v>
      </c>
      <c r="C16" s="44">
        <v>10.48639225181598</v>
      </c>
      <c r="D16" s="42">
        <v>52</v>
      </c>
      <c r="E16" s="41">
        <v>0.33211238999999998</v>
      </c>
      <c r="G16" s="39">
        <v>4055</v>
      </c>
      <c r="I16" s="23">
        <f t="shared" si="0"/>
        <v>4.7263922518160584E-2</v>
      </c>
    </row>
    <row r="17" spans="1:9">
      <c r="A17" s="10">
        <v>44576</v>
      </c>
      <c r="B17" s="45">
        <v>-28.121546228247091</v>
      </c>
      <c r="C17" s="44">
        <v>10.577046004842616</v>
      </c>
      <c r="D17" s="42">
        <v>55</v>
      </c>
      <c r="E17" s="41">
        <v>0.33173577999999998</v>
      </c>
      <c r="G17" s="39">
        <v>4559</v>
      </c>
      <c r="I17" s="23">
        <f t="shared" si="0"/>
        <v>9.0653753026636252E-2</v>
      </c>
    </row>
    <row r="18" spans="1:9">
      <c r="A18" s="10">
        <v>44577</v>
      </c>
      <c r="B18" s="45">
        <v>-31.494275499766879</v>
      </c>
      <c r="C18" s="44">
        <v>10.652203389830508</v>
      </c>
      <c r="D18" s="42">
        <v>31</v>
      </c>
      <c r="E18" s="41">
        <v>0.33166330999999999</v>
      </c>
      <c r="G18" s="39">
        <v>4166</v>
      </c>
      <c r="I18" s="23">
        <f t="shared" si="0"/>
        <v>7.5157384987891263E-2</v>
      </c>
    </row>
    <row r="19" spans="1:9">
      <c r="A19" s="10">
        <v>44578</v>
      </c>
      <c r="B19" s="45">
        <v>-29.145780391105742</v>
      </c>
      <c r="C19" s="44">
        <v>10.711089588377723</v>
      </c>
      <c r="D19" s="42">
        <v>15</v>
      </c>
      <c r="E19" s="41">
        <v>0.33132592999999999</v>
      </c>
      <c r="G19" s="39">
        <v>3713</v>
      </c>
      <c r="I19" s="23">
        <f t="shared" si="0"/>
        <v>5.8886198547215329E-2</v>
      </c>
    </row>
    <row r="20" spans="1:9">
      <c r="A20" s="10">
        <v>44579</v>
      </c>
      <c r="B20" s="45">
        <v>-29.680251055706602</v>
      </c>
      <c r="C20" s="44">
        <v>10.754479418886197</v>
      </c>
      <c r="D20" s="42">
        <v>14</v>
      </c>
      <c r="E20" s="41">
        <v>0.33128281999999998</v>
      </c>
      <c r="G20" s="39">
        <v>5181</v>
      </c>
      <c r="I20" s="23">
        <f t="shared" si="0"/>
        <v>4.3389830508473892E-2</v>
      </c>
    </row>
    <row r="21" spans="1:9">
      <c r="A21" s="10">
        <v>44580</v>
      </c>
      <c r="B21" s="45">
        <v>-32.466894802657258</v>
      </c>
      <c r="C21" s="44">
        <v>10.788571428571428</v>
      </c>
      <c r="D21" s="42">
        <v>26</v>
      </c>
      <c r="E21" s="41">
        <v>0.33001922</v>
      </c>
      <c r="G21" s="39">
        <v>7366</v>
      </c>
      <c r="I21" s="23">
        <f t="shared" si="0"/>
        <v>3.4092009685231517E-2</v>
      </c>
    </row>
    <row r="22" spans="1:9">
      <c r="A22" s="10">
        <v>44581</v>
      </c>
      <c r="B22" s="45">
        <v>-32.832054677108168</v>
      </c>
      <c r="C22" s="44">
        <v>10.819564164648909</v>
      </c>
      <c r="D22" s="42">
        <v>11</v>
      </c>
      <c r="E22" s="41">
        <v>0.33093560999999999</v>
      </c>
      <c r="G22" s="39">
        <v>8634</v>
      </c>
      <c r="I22" s="23">
        <f t="shared" si="0"/>
        <v>3.0992736077481098E-2</v>
      </c>
    </row>
    <row r="23" spans="1:9">
      <c r="A23" s="10">
        <v>44582</v>
      </c>
      <c r="B23" s="45">
        <v>-36.192058215548222</v>
      </c>
      <c r="C23" s="44">
        <v>10.847457627118644</v>
      </c>
      <c r="D23" s="42">
        <v>24</v>
      </c>
      <c r="E23" s="41">
        <v>0.33085921000000001</v>
      </c>
      <c r="G23" s="39">
        <v>9695</v>
      </c>
      <c r="I23" s="23">
        <f t="shared" si="0"/>
        <v>2.7893462469734231E-2</v>
      </c>
    </row>
    <row r="24" spans="1:9">
      <c r="A24" s="10">
        <v>44583</v>
      </c>
      <c r="B24" s="45">
        <v>-35.046339079993253</v>
      </c>
      <c r="C24" s="44">
        <v>10.847457627118644</v>
      </c>
      <c r="D24" s="42">
        <v>18</v>
      </c>
      <c r="E24" s="41">
        <v>0.33163541000000002</v>
      </c>
      <c r="G24" s="39">
        <v>11217</v>
      </c>
      <c r="I24" s="23">
        <f t="shared" si="0"/>
        <v>0</v>
      </c>
    </row>
    <row r="25" spans="1:9">
      <c r="A25" s="10">
        <v>44584</v>
      </c>
      <c r="B25" s="45">
        <v>-36.487807940864151</v>
      </c>
      <c r="C25" s="44">
        <v>10.847457627118644</v>
      </c>
      <c r="D25" s="42">
        <v>20</v>
      </c>
      <c r="E25" s="41">
        <v>0.33291699000000002</v>
      </c>
      <c r="G25" s="39">
        <v>9460</v>
      </c>
      <c r="I25" s="23">
        <f t="shared" si="0"/>
        <v>0</v>
      </c>
    </row>
    <row r="26" spans="1:9">
      <c r="A26" s="10">
        <v>44585</v>
      </c>
      <c r="B26" s="45">
        <v>-35.125898275697743</v>
      </c>
      <c r="C26" s="44">
        <v>10.847457627118644</v>
      </c>
      <c r="D26" s="42">
        <v>12</v>
      </c>
      <c r="E26" s="41">
        <v>0.3338894</v>
      </c>
      <c r="G26" s="39">
        <v>8493</v>
      </c>
      <c r="I26" s="23">
        <f t="shared" si="0"/>
        <v>0</v>
      </c>
    </row>
    <row r="27" spans="1:9">
      <c r="A27" s="10">
        <v>44586</v>
      </c>
      <c r="B27" s="45">
        <v>-35.028959622837966</v>
      </c>
      <c r="C27" s="44">
        <v>10.847457627118644</v>
      </c>
      <c r="D27" s="42">
        <v>12</v>
      </c>
      <c r="E27" s="41">
        <v>0.33547019</v>
      </c>
      <c r="G27" s="39">
        <v>12796</v>
      </c>
      <c r="I27" s="23">
        <f t="shared" si="0"/>
        <v>0</v>
      </c>
    </row>
    <row r="28" spans="1:9">
      <c r="A28" s="10">
        <v>44587</v>
      </c>
      <c r="B28" s="45">
        <v>-37.914195841526855</v>
      </c>
      <c r="C28" s="44">
        <v>10.847457627118644</v>
      </c>
      <c r="D28" s="42">
        <v>3</v>
      </c>
      <c r="E28" s="41">
        <v>0.33856034000000002</v>
      </c>
      <c r="G28" s="39">
        <v>14076</v>
      </c>
      <c r="I28" s="23">
        <f t="shared" si="0"/>
        <v>0</v>
      </c>
    </row>
    <row r="29" spans="1:9">
      <c r="A29" s="10">
        <v>44588</v>
      </c>
      <c r="B29" s="45">
        <v>-37.789982930782259</v>
      </c>
      <c r="C29" s="44">
        <v>10.847457627118644</v>
      </c>
      <c r="D29" s="42">
        <v>9</v>
      </c>
      <c r="E29" s="41">
        <v>0.33514523000000002</v>
      </c>
      <c r="G29" s="39">
        <v>16524</v>
      </c>
      <c r="I29" s="23">
        <f t="shared" si="0"/>
        <v>0</v>
      </c>
    </row>
    <row r="30" spans="1:9">
      <c r="A30" s="10">
        <v>44589</v>
      </c>
      <c r="B30" s="45">
        <v>-38.883629414623769</v>
      </c>
      <c r="C30" s="44">
        <v>10.847457627118644</v>
      </c>
      <c r="D30" s="42">
        <v>10</v>
      </c>
      <c r="E30" s="41">
        <v>0.33798457999999998</v>
      </c>
      <c r="G30" s="39">
        <v>17610</v>
      </c>
      <c r="I30" s="23">
        <f t="shared" si="0"/>
        <v>0</v>
      </c>
    </row>
    <row r="31" spans="1:9">
      <c r="A31" s="10">
        <v>44590</v>
      </c>
      <c r="B31" s="45">
        <v>-36.73002354028386</v>
      </c>
      <c r="C31" s="44">
        <v>10.847457627118644</v>
      </c>
      <c r="D31" s="42">
        <v>23</v>
      </c>
      <c r="E31" s="41">
        <v>0.33546443999999997</v>
      </c>
      <c r="G31" s="39">
        <v>17422</v>
      </c>
      <c r="I31" s="23">
        <f t="shared" si="0"/>
        <v>0</v>
      </c>
    </row>
    <row r="32" spans="1:9">
      <c r="A32" s="10">
        <v>44591</v>
      </c>
      <c r="B32" s="45">
        <v>-38.911541018408258</v>
      </c>
      <c r="C32" s="44">
        <v>10.847457627118644</v>
      </c>
      <c r="D32" s="42">
        <v>8</v>
      </c>
      <c r="E32" s="41">
        <v>0.33569184000000002</v>
      </c>
      <c r="G32" s="39">
        <v>15892</v>
      </c>
      <c r="I32" s="23">
        <f t="shared" si="0"/>
        <v>0</v>
      </c>
    </row>
    <row r="33" spans="1:9">
      <c r="A33" s="10">
        <v>44592</v>
      </c>
      <c r="B33" s="45">
        <v>-34.543413569983798</v>
      </c>
      <c r="C33" s="44">
        <v>10.847457627118644</v>
      </c>
      <c r="D33" s="42">
        <v>8</v>
      </c>
      <c r="E33" s="41">
        <v>0.33554423999999999</v>
      </c>
      <c r="G33" s="39">
        <v>11743</v>
      </c>
      <c r="I33" s="23">
        <f t="shared" si="0"/>
        <v>0</v>
      </c>
    </row>
    <row r="34" spans="1:9">
      <c r="A34" s="11">
        <v>44593</v>
      </c>
      <c r="B34" s="45">
        <v>-35.219818360617808</v>
      </c>
      <c r="C34" s="44">
        <v>10.847457627118644</v>
      </c>
      <c r="D34" s="42">
        <v>7</v>
      </c>
      <c r="E34" s="41">
        <v>0.33143278999999998</v>
      </c>
      <c r="F34" s="8"/>
      <c r="G34" s="39">
        <v>14425</v>
      </c>
      <c r="I34" s="23">
        <f t="shared" si="0"/>
        <v>0</v>
      </c>
    </row>
    <row r="35" spans="1:9">
      <c r="A35" s="10">
        <v>44594</v>
      </c>
      <c r="B35" s="45">
        <v>-37.096451239849578</v>
      </c>
      <c r="C35" s="44">
        <v>10.847457627118644</v>
      </c>
      <c r="D35" s="42">
        <v>7</v>
      </c>
      <c r="E35" s="41">
        <v>0.32791429999999999</v>
      </c>
      <c r="G35" s="39">
        <v>21555</v>
      </c>
      <c r="I35" s="23">
        <f t="shared" si="0"/>
        <v>0</v>
      </c>
    </row>
    <row r="36" spans="1:9">
      <c r="A36" s="10">
        <v>44595</v>
      </c>
      <c r="B36" s="45">
        <v>-37.611053317757516</v>
      </c>
      <c r="C36" s="44">
        <v>10.847457627118644</v>
      </c>
      <c r="D36" s="42">
        <v>4</v>
      </c>
      <c r="E36" s="41">
        <v>0.33700961000000001</v>
      </c>
      <c r="G36" s="39">
        <v>20660</v>
      </c>
      <c r="I36" s="23">
        <f t="shared" si="0"/>
        <v>0</v>
      </c>
    </row>
    <row r="37" spans="1:9">
      <c r="A37" s="10">
        <v>44596</v>
      </c>
      <c r="B37" s="45">
        <v>-39.660968866731864</v>
      </c>
      <c r="C37" s="44">
        <v>10.847457627118644</v>
      </c>
      <c r="D37" s="42">
        <v>5</v>
      </c>
      <c r="E37" s="41">
        <v>0.34012248</v>
      </c>
      <c r="G37" s="39">
        <v>19786</v>
      </c>
      <c r="I37" s="23">
        <f t="shared" si="0"/>
        <v>0</v>
      </c>
    </row>
    <row r="38" spans="1:9">
      <c r="A38" s="10">
        <v>44597</v>
      </c>
      <c r="B38" s="45">
        <v>-35.809095790847387</v>
      </c>
      <c r="C38" s="44">
        <v>10.847457627118644</v>
      </c>
      <c r="D38" s="42">
        <v>9</v>
      </c>
      <c r="E38" s="41">
        <v>0.34915404</v>
      </c>
      <c r="G38" s="39">
        <v>21103</v>
      </c>
      <c r="I38" s="23">
        <f t="shared" si="0"/>
        <v>0</v>
      </c>
    </row>
    <row r="39" spans="1:9">
      <c r="A39" s="10">
        <v>44598</v>
      </c>
      <c r="B39" s="45">
        <v>-39.073898171053251</v>
      </c>
      <c r="C39" s="44">
        <v>10.847457627118644</v>
      </c>
      <c r="D39" s="42">
        <v>8</v>
      </c>
      <c r="E39" s="41">
        <v>0.35559531</v>
      </c>
      <c r="G39" s="39">
        <v>17518</v>
      </c>
      <c r="I39" s="23">
        <f t="shared" si="0"/>
        <v>0</v>
      </c>
    </row>
    <row r="40" spans="1:9">
      <c r="A40" s="10">
        <v>44599</v>
      </c>
      <c r="B40" s="45">
        <v>-33.987476816188483</v>
      </c>
      <c r="C40" s="44">
        <v>10.847457627118644</v>
      </c>
      <c r="D40" s="42">
        <v>5</v>
      </c>
      <c r="E40" s="41">
        <v>0.36044688000000003</v>
      </c>
      <c r="G40" s="39">
        <v>12187</v>
      </c>
      <c r="I40" s="23">
        <f t="shared" si="0"/>
        <v>0</v>
      </c>
    </row>
    <row r="41" spans="1:9">
      <c r="A41" s="10">
        <v>44600</v>
      </c>
      <c r="B41" s="45">
        <v>-33.897943541389488</v>
      </c>
      <c r="C41" s="44">
        <v>10.847457627118644</v>
      </c>
      <c r="D41" s="42">
        <v>10</v>
      </c>
      <c r="E41" s="41">
        <v>0.37006935000000002</v>
      </c>
      <c r="G41" s="39">
        <v>17098</v>
      </c>
      <c r="I41" s="23">
        <f t="shared" si="0"/>
        <v>0</v>
      </c>
    </row>
    <row r="42" spans="1:9">
      <c r="A42" s="10">
        <v>44601</v>
      </c>
      <c r="B42" s="45">
        <v>-34.583740035010877</v>
      </c>
      <c r="C42" s="44">
        <v>10.847457627118644</v>
      </c>
      <c r="D42" s="42">
        <v>6</v>
      </c>
      <c r="E42" s="41">
        <v>0.37646855000000001</v>
      </c>
      <c r="G42" s="39">
        <v>18270</v>
      </c>
      <c r="I42" s="23">
        <f t="shared" si="0"/>
        <v>0</v>
      </c>
    </row>
    <row r="43" spans="1:9">
      <c r="A43" s="10">
        <v>44602</v>
      </c>
      <c r="B43" s="45">
        <v>-45.511101595386201</v>
      </c>
      <c r="C43" s="44">
        <v>10.847457627118644</v>
      </c>
      <c r="D43" s="42">
        <v>8</v>
      </c>
      <c r="E43" s="41">
        <v>0.37933916000000001</v>
      </c>
      <c r="G43" s="39">
        <v>18882</v>
      </c>
      <c r="I43" s="23">
        <f t="shared" si="0"/>
        <v>0</v>
      </c>
    </row>
    <row r="44" spans="1:9">
      <c r="A44" s="10">
        <v>44603</v>
      </c>
      <c r="B44" s="45">
        <v>-47.872352884913809</v>
      </c>
      <c r="C44" s="44">
        <v>10.847457627118644</v>
      </c>
      <c r="D44" s="42">
        <v>8</v>
      </c>
      <c r="E44" s="41">
        <v>0.38273652000000002</v>
      </c>
      <c r="G44" s="39">
        <v>18646</v>
      </c>
      <c r="I44" s="23">
        <f t="shared" si="0"/>
        <v>0</v>
      </c>
    </row>
    <row r="45" spans="1:9">
      <c r="A45" s="10">
        <v>44604</v>
      </c>
      <c r="B45" s="45">
        <v>-33.958420490661936</v>
      </c>
      <c r="C45" s="44">
        <v>10.847457627118644</v>
      </c>
      <c r="D45" s="42">
        <v>9</v>
      </c>
      <c r="E45" s="41">
        <v>0.38595168000000002</v>
      </c>
      <c r="G45" s="39">
        <v>11752</v>
      </c>
      <c r="I45" s="23">
        <f t="shared" si="0"/>
        <v>0</v>
      </c>
    </row>
    <row r="46" spans="1:9">
      <c r="A46" s="10">
        <v>44605</v>
      </c>
      <c r="B46" s="45">
        <v>-39.035801300639037</v>
      </c>
      <c r="C46" s="44">
        <v>10.847457627118644</v>
      </c>
      <c r="D46" s="42">
        <v>13</v>
      </c>
      <c r="E46" s="41">
        <v>0.38249815999999998</v>
      </c>
      <c r="G46" s="39">
        <v>13058</v>
      </c>
      <c r="I46" s="23">
        <f t="shared" si="0"/>
        <v>0</v>
      </c>
    </row>
    <row r="47" spans="1:9">
      <c r="A47" s="10">
        <v>44606</v>
      </c>
      <c r="B47" s="45">
        <v>-32.96357306949465</v>
      </c>
      <c r="C47" s="44">
        <v>10.847457627118644</v>
      </c>
      <c r="D47" s="42">
        <v>8</v>
      </c>
      <c r="E47" s="41">
        <v>0.38587465999999998</v>
      </c>
      <c r="G47" s="39">
        <v>10325</v>
      </c>
      <c r="I47" s="23">
        <f t="shared" si="0"/>
        <v>0</v>
      </c>
    </row>
    <row r="48" spans="1:9">
      <c r="A48" s="10">
        <v>44607</v>
      </c>
      <c r="B48" s="45">
        <v>-33.356423902354372</v>
      </c>
      <c r="C48" s="44">
        <v>10.847457627118644</v>
      </c>
      <c r="D48" s="42">
        <v>6</v>
      </c>
      <c r="E48" s="41">
        <v>0.38579686000000002</v>
      </c>
      <c r="G48" s="39">
        <v>15512</v>
      </c>
      <c r="I48" s="23">
        <f t="shared" si="0"/>
        <v>0</v>
      </c>
    </row>
    <row r="49" spans="1:9">
      <c r="A49" s="10">
        <v>44608</v>
      </c>
      <c r="B49" s="45">
        <v>-36.549628283662621</v>
      </c>
      <c r="C49" s="44">
        <v>10.847457627118644</v>
      </c>
      <c r="D49" s="42">
        <v>5</v>
      </c>
      <c r="E49" s="41">
        <v>0.39171566000000002</v>
      </c>
      <c r="G49" s="39">
        <v>17322</v>
      </c>
      <c r="I49" s="23">
        <f t="shared" si="0"/>
        <v>0</v>
      </c>
    </row>
    <row r="50" spans="1:9">
      <c r="A50" s="10">
        <v>44609</v>
      </c>
      <c r="B50" s="45">
        <v>-35.158765274447376</v>
      </c>
      <c r="C50" s="44">
        <v>10.847457627118644</v>
      </c>
      <c r="D50" s="42">
        <v>6</v>
      </c>
      <c r="E50" s="41">
        <v>0.39428718000000001</v>
      </c>
      <c r="G50" s="39">
        <v>17853</v>
      </c>
      <c r="I50" s="23">
        <f t="shared" si="0"/>
        <v>0</v>
      </c>
    </row>
    <row r="51" spans="1:9">
      <c r="A51" s="10">
        <v>44610</v>
      </c>
      <c r="B51" s="45">
        <v>-35.909673246756959</v>
      </c>
      <c r="C51" s="44">
        <v>10.847457627118644</v>
      </c>
      <c r="D51" s="42">
        <v>14</v>
      </c>
      <c r="E51" s="41">
        <v>0.39997382999999997</v>
      </c>
      <c r="G51" s="39">
        <v>16115</v>
      </c>
      <c r="I51" s="23">
        <f t="shared" si="0"/>
        <v>0</v>
      </c>
    </row>
    <row r="52" spans="1:9">
      <c r="A52" s="10">
        <v>44611</v>
      </c>
      <c r="B52" s="45">
        <v>-34.226995148328768</v>
      </c>
      <c r="C52" s="44">
        <v>10.847457627118644</v>
      </c>
      <c r="D52" s="42">
        <v>22</v>
      </c>
      <c r="E52" s="41">
        <v>0.40427048999999998</v>
      </c>
      <c r="G52" s="39">
        <v>13503</v>
      </c>
      <c r="I52" s="23">
        <f t="shared" si="0"/>
        <v>0</v>
      </c>
    </row>
    <row r="53" spans="1:9">
      <c r="A53" s="10">
        <v>44612</v>
      </c>
      <c r="B53" s="45">
        <v>-36.50812910002719</v>
      </c>
      <c r="C53" s="44">
        <v>10.847457627118644</v>
      </c>
      <c r="D53" s="42">
        <v>11</v>
      </c>
      <c r="E53" s="41">
        <v>0.41672103999999999</v>
      </c>
      <c r="G53" s="39">
        <v>12932</v>
      </c>
      <c r="I53" s="23">
        <f t="shared" si="0"/>
        <v>0</v>
      </c>
    </row>
    <row r="54" spans="1:9">
      <c r="A54" s="10">
        <v>44613</v>
      </c>
      <c r="B54" s="45">
        <v>-33.020831925902364</v>
      </c>
      <c r="C54" s="44">
        <v>10.847457627118644</v>
      </c>
      <c r="D54" s="42">
        <v>11</v>
      </c>
      <c r="E54" s="41">
        <v>0.42088328000000003</v>
      </c>
      <c r="G54" s="39">
        <v>8796</v>
      </c>
      <c r="I54" s="23">
        <f t="shared" si="0"/>
        <v>0</v>
      </c>
    </row>
    <row r="55" spans="1:9">
      <c r="A55" s="10">
        <v>44614</v>
      </c>
      <c r="B55" s="45">
        <v>-29.748438132700873</v>
      </c>
      <c r="C55" s="44">
        <v>10.847457627118644</v>
      </c>
      <c r="D55" s="42">
        <v>10</v>
      </c>
      <c r="E55" s="41">
        <v>0.42427840999999999</v>
      </c>
      <c r="G55" s="39">
        <v>11435</v>
      </c>
      <c r="I55" s="23">
        <f t="shared" si="0"/>
        <v>0</v>
      </c>
    </row>
    <row r="56" spans="1:9">
      <c r="A56" s="10">
        <v>44615</v>
      </c>
      <c r="B56" s="45">
        <v>-44.470778245061517</v>
      </c>
      <c r="C56" s="44">
        <v>10.847457627118644</v>
      </c>
      <c r="D56" s="42">
        <v>6</v>
      </c>
      <c r="E56" s="41">
        <v>0.42829254</v>
      </c>
      <c r="G56" s="39">
        <v>14555</v>
      </c>
      <c r="I56" s="23">
        <f t="shared" si="0"/>
        <v>0</v>
      </c>
    </row>
    <row r="57" spans="1:9">
      <c r="A57" s="10">
        <v>44616</v>
      </c>
      <c r="B57" s="45">
        <v>-34.169960192679525</v>
      </c>
      <c r="C57" s="44">
        <v>10.847457627118644</v>
      </c>
      <c r="D57" s="42">
        <v>6</v>
      </c>
      <c r="E57" s="41">
        <v>0.43184477999999998</v>
      </c>
      <c r="G57" s="39">
        <v>10163</v>
      </c>
      <c r="I57" s="23">
        <f t="shared" si="0"/>
        <v>0</v>
      </c>
    </row>
    <row r="58" spans="1:9">
      <c r="A58" s="10">
        <v>44617</v>
      </c>
      <c r="B58" s="45">
        <v>-34.839050327638141</v>
      </c>
      <c r="C58" s="44">
        <v>10.847457627118644</v>
      </c>
      <c r="D58" s="42">
        <v>9</v>
      </c>
      <c r="E58" s="41">
        <v>0.43435220000000002</v>
      </c>
      <c r="G58" s="39">
        <v>11122</v>
      </c>
      <c r="I58" s="23">
        <f t="shared" si="0"/>
        <v>0</v>
      </c>
    </row>
    <row r="59" spans="1:9">
      <c r="A59" s="10">
        <v>44618</v>
      </c>
      <c r="B59" s="45">
        <v>-30.416762929984824</v>
      </c>
      <c r="C59" s="44">
        <v>10.847457627118644</v>
      </c>
      <c r="D59" s="42">
        <v>19</v>
      </c>
      <c r="E59" s="41">
        <v>0.43574362</v>
      </c>
      <c r="G59" s="39">
        <v>11557</v>
      </c>
      <c r="I59" s="23">
        <f t="shared" si="0"/>
        <v>0</v>
      </c>
    </row>
    <row r="60" spans="1:9">
      <c r="A60" s="10">
        <v>44619</v>
      </c>
      <c r="B60" s="45">
        <v>-32.908738480257291</v>
      </c>
      <c r="C60" s="44">
        <v>10.847457627118644</v>
      </c>
      <c r="D60" s="42">
        <v>9</v>
      </c>
      <c r="E60" s="41">
        <v>0.44010445999999998</v>
      </c>
      <c r="G60" s="39">
        <v>10313</v>
      </c>
      <c r="I60" s="23">
        <f t="shared" si="0"/>
        <v>0</v>
      </c>
    </row>
    <row r="61" spans="1:9">
      <c r="A61" s="10">
        <v>44620</v>
      </c>
      <c r="B61" s="45">
        <v>-30.240929054158915</v>
      </c>
      <c r="C61" s="44">
        <v>10.847457627118644</v>
      </c>
      <c r="D61" s="42">
        <v>7</v>
      </c>
      <c r="E61" s="41">
        <v>0.44253499000000002</v>
      </c>
      <c r="G61" s="39">
        <v>9624</v>
      </c>
      <c r="I61" s="23">
        <f t="shared" si="0"/>
        <v>0</v>
      </c>
    </row>
    <row r="62" spans="1:9">
      <c r="A62" s="10">
        <v>44621</v>
      </c>
      <c r="B62" s="45">
        <v>-31.231091282466593</v>
      </c>
      <c r="C62" s="44">
        <v>10.847457627118644</v>
      </c>
      <c r="D62" s="42">
        <v>5</v>
      </c>
      <c r="E62" s="41">
        <v>0.44271221999999999</v>
      </c>
      <c r="G62" s="39">
        <v>11800</v>
      </c>
      <c r="I62" s="23">
        <f t="shared" si="0"/>
        <v>0</v>
      </c>
    </row>
    <row r="63" spans="1:9">
      <c r="A63" s="10">
        <v>44622</v>
      </c>
      <c r="B63" s="45">
        <v>-34.839722684882254</v>
      </c>
      <c r="C63" s="44">
        <v>10.847457627118644</v>
      </c>
      <c r="D63" s="42">
        <v>7</v>
      </c>
      <c r="E63" s="41">
        <v>0.44472951999999999</v>
      </c>
      <c r="G63" s="39">
        <v>12688</v>
      </c>
      <c r="I63" s="23">
        <f t="shared" si="0"/>
        <v>0</v>
      </c>
    </row>
    <row r="64" spans="1:9">
      <c r="A64" s="10">
        <v>44623</v>
      </c>
      <c r="B64" s="45">
        <v>-34.121265478645398</v>
      </c>
      <c r="C64" s="44">
        <v>10.847457627118644</v>
      </c>
      <c r="D64" s="42">
        <v>4</v>
      </c>
      <c r="E64" s="41">
        <v>0.44752385</v>
      </c>
      <c r="G64" s="39">
        <v>12242</v>
      </c>
      <c r="I64" s="23">
        <f t="shared" si="0"/>
        <v>0</v>
      </c>
    </row>
    <row r="65" spans="1:9">
      <c r="A65" s="10">
        <v>44624</v>
      </c>
      <c r="B65" s="45">
        <v>-33.980378799265274</v>
      </c>
      <c r="C65" s="44">
        <v>10.847457627118644</v>
      </c>
      <c r="D65" s="42">
        <v>14</v>
      </c>
      <c r="E65" s="41">
        <v>0.44668553</v>
      </c>
      <c r="G65" s="39">
        <v>10513</v>
      </c>
      <c r="I65" s="23">
        <f t="shared" si="0"/>
        <v>0</v>
      </c>
    </row>
    <row r="66" spans="1:9">
      <c r="A66" s="10">
        <v>44625</v>
      </c>
      <c r="B66" s="45">
        <v>-27.253459235346643</v>
      </c>
      <c r="C66" s="44">
        <v>10.847457627118644</v>
      </c>
      <c r="D66" s="42">
        <v>13</v>
      </c>
      <c r="E66" s="41">
        <v>0.44910925000000002</v>
      </c>
      <c r="G66" s="39">
        <v>10803</v>
      </c>
      <c r="I66" s="23">
        <f t="shared" si="0"/>
        <v>0</v>
      </c>
    </row>
    <row r="67" spans="1:9">
      <c r="A67" s="10">
        <v>44626</v>
      </c>
      <c r="B67" s="45">
        <v>-28.975003277264189</v>
      </c>
      <c r="C67" s="44">
        <v>10.847457627118644</v>
      </c>
      <c r="D67" s="42">
        <v>9</v>
      </c>
      <c r="E67" s="41">
        <v>0.44600307</v>
      </c>
      <c r="G67" s="39">
        <v>9282</v>
      </c>
      <c r="I67" s="23">
        <f t="shared" si="0"/>
        <v>0</v>
      </c>
    </row>
    <row r="68" spans="1:9">
      <c r="A68" s="10">
        <v>44627</v>
      </c>
      <c r="B68" s="45">
        <v>-30.139411438844217</v>
      </c>
      <c r="C68" s="44">
        <v>10.847457627118644</v>
      </c>
      <c r="D68" s="42">
        <v>3</v>
      </c>
      <c r="E68" s="41">
        <v>0.44175071999999999</v>
      </c>
      <c r="G68" s="39">
        <v>5369</v>
      </c>
      <c r="I68" s="23">
        <f t="shared" si="0"/>
        <v>0</v>
      </c>
    </row>
    <row r="69" spans="1:9">
      <c r="A69" s="10">
        <v>44628</v>
      </c>
      <c r="B69" s="45">
        <v>-30.993376525712961</v>
      </c>
      <c r="C69" s="44">
        <v>10.847457627118644</v>
      </c>
      <c r="D69" s="42">
        <v>8</v>
      </c>
      <c r="E69" s="41">
        <v>0.44433146000000001</v>
      </c>
      <c r="G69" s="39">
        <v>8918</v>
      </c>
      <c r="I69" s="23">
        <f t="shared" ref="I69:I132" si="1">C69-C68</f>
        <v>0</v>
      </c>
    </row>
    <row r="70" spans="1:9">
      <c r="A70" s="10">
        <v>44629</v>
      </c>
      <c r="B70" s="45">
        <v>-31.669695672810228</v>
      </c>
      <c r="C70" s="44">
        <v>10.847457627118644</v>
      </c>
      <c r="D70" s="42">
        <v>11</v>
      </c>
      <c r="E70" s="41">
        <v>0.44383787000000002</v>
      </c>
      <c r="G70" s="39">
        <v>10812</v>
      </c>
      <c r="I70" s="23">
        <f t="shared" si="1"/>
        <v>0</v>
      </c>
    </row>
    <row r="71" spans="1:9">
      <c r="A71" s="10">
        <v>44630</v>
      </c>
      <c r="B71" s="45">
        <v>-30.435934126930885</v>
      </c>
      <c r="C71" s="44">
        <v>10.847457627118644</v>
      </c>
      <c r="D71" s="42">
        <v>14</v>
      </c>
      <c r="E71" s="41">
        <v>0.43760581999999998</v>
      </c>
      <c r="G71" s="39">
        <v>10075</v>
      </c>
      <c r="I71" s="23">
        <f t="shared" si="1"/>
        <v>0</v>
      </c>
    </row>
    <row r="72" spans="1:9">
      <c r="A72" s="10">
        <v>44631</v>
      </c>
      <c r="B72" s="45">
        <v>-30.991555127857279</v>
      </c>
      <c r="C72" s="44">
        <v>10.847457627118644</v>
      </c>
      <c r="D72" s="42">
        <v>18</v>
      </c>
      <c r="E72" s="41">
        <v>0.44156827999999998</v>
      </c>
      <c r="G72" s="39">
        <v>8456</v>
      </c>
      <c r="I72" s="23">
        <f t="shared" si="1"/>
        <v>0</v>
      </c>
    </row>
    <row r="73" spans="1:9">
      <c r="A73" s="10">
        <v>44632</v>
      </c>
      <c r="B73" s="45">
        <v>-22.586769673620523</v>
      </c>
      <c r="C73" s="44">
        <v>10.847457627118644</v>
      </c>
      <c r="D73" s="42">
        <v>20</v>
      </c>
      <c r="E73" s="41">
        <v>0.44296476000000001</v>
      </c>
      <c r="G73" s="39">
        <v>9162</v>
      </c>
      <c r="I73" s="23">
        <f t="shared" si="1"/>
        <v>0</v>
      </c>
    </row>
    <row r="74" spans="1:9">
      <c r="A74" s="10">
        <v>44633</v>
      </c>
      <c r="B74" s="45">
        <v>-24.336263850948754</v>
      </c>
      <c r="C74" s="44">
        <v>10.847457627118644</v>
      </c>
      <c r="D74" s="42">
        <v>17</v>
      </c>
      <c r="E74" s="41">
        <v>0.44663446000000001</v>
      </c>
      <c r="G74" s="39">
        <v>8125</v>
      </c>
      <c r="I74" s="23">
        <f t="shared" si="1"/>
        <v>0</v>
      </c>
    </row>
    <row r="75" spans="1:9">
      <c r="A75" s="10">
        <v>44634</v>
      </c>
      <c r="B75" s="45">
        <v>-27.66705581752537</v>
      </c>
      <c r="C75" s="44">
        <v>10.847457627118644</v>
      </c>
      <c r="D75" s="42">
        <v>9</v>
      </c>
      <c r="E75" s="41">
        <v>0.44718086000000001</v>
      </c>
      <c r="G75" s="39">
        <v>4831</v>
      </c>
      <c r="I75" s="23">
        <f t="shared" si="1"/>
        <v>0</v>
      </c>
    </row>
    <row r="76" spans="1:9">
      <c r="A76" s="10">
        <v>44635</v>
      </c>
      <c r="B76" s="45">
        <v>-27.550218372187192</v>
      </c>
      <c r="C76" s="44">
        <v>10.847457627118644</v>
      </c>
      <c r="D76" s="42">
        <v>5</v>
      </c>
      <c r="E76" s="41">
        <v>0.442604</v>
      </c>
      <c r="G76" s="39">
        <v>7831</v>
      </c>
      <c r="I76" s="23">
        <f t="shared" si="1"/>
        <v>0</v>
      </c>
    </row>
    <row r="77" spans="1:9">
      <c r="A77" s="10">
        <v>44636</v>
      </c>
      <c r="B77" s="45">
        <v>-29.244772831503802</v>
      </c>
      <c r="C77" s="44">
        <v>10.847457627118644</v>
      </c>
      <c r="D77" s="42">
        <v>13</v>
      </c>
      <c r="E77" s="41">
        <v>0.43278986000000003</v>
      </c>
      <c r="G77" s="39">
        <v>10220</v>
      </c>
      <c r="I77" s="23">
        <f t="shared" si="1"/>
        <v>0</v>
      </c>
    </row>
    <row r="78" spans="1:9">
      <c r="A78" s="10">
        <v>44637</v>
      </c>
      <c r="B78" s="45">
        <v>-28.761440737907389</v>
      </c>
      <c r="C78" s="44">
        <v>10.847457627118644</v>
      </c>
      <c r="D78" s="42">
        <v>14</v>
      </c>
      <c r="E78" s="41">
        <v>0.42964727000000003</v>
      </c>
      <c r="G78" s="39">
        <v>8453</v>
      </c>
      <c r="I78" s="23">
        <f t="shared" si="1"/>
        <v>0</v>
      </c>
    </row>
    <row r="79" spans="1:9">
      <c r="A79" s="10">
        <v>44638</v>
      </c>
      <c r="B79" s="45">
        <v>-32.831221627305197</v>
      </c>
      <c r="C79" s="44">
        <v>10.847457627118644</v>
      </c>
      <c r="D79" s="42">
        <v>10</v>
      </c>
      <c r="E79" s="41">
        <v>0.43117013999999998</v>
      </c>
      <c r="G79" s="39">
        <v>7824</v>
      </c>
      <c r="I79" s="23">
        <f t="shared" si="1"/>
        <v>0</v>
      </c>
    </row>
    <row r="80" spans="1:9">
      <c r="A80" s="10">
        <v>44639</v>
      </c>
      <c r="B80" s="45">
        <v>-25.417457586902358</v>
      </c>
      <c r="C80" s="44">
        <v>10.847457627118644</v>
      </c>
      <c r="D80" s="42">
        <v>32</v>
      </c>
      <c r="E80" s="41">
        <v>0.43423427999999997</v>
      </c>
      <c r="G80" s="39">
        <v>7440</v>
      </c>
      <c r="I80" s="23">
        <f t="shared" si="1"/>
        <v>0</v>
      </c>
    </row>
    <row r="81" spans="1:9">
      <c r="A81" s="10">
        <v>44640</v>
      </c>
      <c r="B81" s="45">
        <v>-19.253046795090171</v>
      </c>
      <c r="C81" s="44">
        <v>10.847457627118644</v>
      </c>
      <c r="D81" s="42">
        <v>21</v>
      </c>
      <c r="E81" s="41">
        <v>0.43807274000000002</v>
      </c>
      <c r="G81" s="39">
        <v>6497</v>
      </c>
      <c r="I81" s="23">
        <f t="shared" si="1"/>
        <v>0</v>
      </c>
    </row>
    <row r="82" spans="1:9">
      <c r="A82" s="10">
        <v>44641</v>
      </c>
      <c r="B82" s="45">
        <v>-35.305343441761202</v>
      </c>
      <c r="C82" s="44">
        <v>10.847457627118644</v>
      </c>
      <c r="D82" s="42">
        <v>20</v>
      </c>
      <c r="E82" s="41">
        <v>0.44248285999999998</v>
      </c>
      <c r="G82" s="39">
        <v>3853</v>
      </c>
      <c r="I82" s="23">
        <f t="shared" si="1"/>
        <v>0</v>
      </c>
    </row>
    <row r="83" spans="1:9">
      <c r="A83" s="10">
        <v>44642</v>
      </c>
      <c r="B83" s="45">
        <v>-28.496558107248219</v>
      </c>
      <c r="C83" s="44">
        <v>10.847457627118644</v>
      </c>
      <c r="D83" s="42">
        <v>20</v>
      </c>
      <c r="E83" s="41">
        <v>0.44506899999999999</v>
      </c>
      <c r="G83" s="39">
        <v>3532</v>
      </c>
      <c r="I83" s="23">
        <f t="shared" si="1"/>
        <v>0</v>
      </c>
    </row>
    <row r="84" spans="1:9">
      <c r="A84" s="10">
        <v>44643</v>
      </c>
      <c r="B84" s="45">
        <v>-26.715729717701738</v>
      </c>
      <c r="C84" s="44">
        <v>10.847457627118644</v>
      </c>
      <c r="D84" s="42">
        <v>16</v>
      </c>
      <c r="E84" s="41">
        <v>0.44813154999999999</v>
      </c>
      <c r="G84" s="39">
        <v>6426</v>
      </c>
      <c r="I84" s="23">
        <f t="shared" si="1"/>
        <v>0</v>
      </c>
    </row>
    <row r="85" spans="1:9">
      <c r="A85" s="10">
        <v>44644</v>
      </c>
      <c r="B85" s="45">
        <v>-25.362473232679054</v>
      </c>
      <c r="C85" s="44">
        <v>10.847457627118644</v>
      </c>
      <c r="D85" s="42">
        <v>31</v>
      </c>
      <c r="E85" s="41">
        <v>0.45132591999999999</v>
      </c>
      <c r="G85" s="39">
        <v>8866</v>
      </c>
      <c r="I85" s="23">
        <f t="shared" si="1"/>
        <v>0</v>
      </c>
    </row>
    <row r="86" spans="1:9">
      <c r="A86" s="10">
        <v>44645</v>
      </c>
      <c r="B86" s="45">
        <v>-24.413904792020869</v>
      </c>
      <c r="C86" s="44">
        <v>10.847457627118644</v>
      </c>
      <c r="D86" s="42">
        <v>46</v>
      </c>
      <c r="E86" s="41">
        <v>0.45326246999999997</v>
      </c>
      <c r="G86" s="39">
        <v>7284</v>
      </c>
      <c r="I86" s="23">
        <f t="shared" si="1"/>
        <v>0</v>
      </c>
    </row>
    <row r="87" spans="1:9">
      <c r="A87" s="10">
        <v>44646</v>
      </c>
      <c r="B87" s="45">
        <v>-20.662179755355883</v>
      </c>
      <c r="C87" s="44">
        <v>10.847457627118644</v>
      </c>
      <c r="D87" s="42">
        <v>55</v>
      </c>
      <c r="E87" s="41">
        <v>0.45566301999999997</v>
      </c>
      <c r="G87" s="39">
        <v>7439</v>
      </c>
      <c r="I87" s="23">
        <f t="shared" si="1"/>
        <v>0</v>
      </c>
    </row>
    <row r="88" spans="1:9">
      <c r="A88" s="10">
        <v>44647</v>
      </c>
      <c r="B88" s="45">
        <v>-20.488989028695258</v>
      </c>
      <c r="C88" s="44">
        <v>10.847457627118644</v>
      </c>
      <c r="D88" s="42">
        <v>27</v>
      </c>
      <c r="E88" s="41">
        <v>0.45868733</v>
      </c>
      <c r="G88" s="39">
        <v>7843</v>
      </c>
      <c r="I88" s="23">
        <f t="shared" si="1"/>
        <v>0</v>
      </c>
    </row>
    <row r="89" spans="1:9">
      <c r="A89" s="10">
        <v>44648</v>
      </c>
      <c r="B89" s="45">
        <v>-21.631943138449945</v>
      </c>
      <c r="C89" s="44">
        <v>10.847457627118644</v>
      </c>
      <c r="D89" s="42">
        <v>20</v>
      </c>
      <c r="E89" s="41">
        <v>0.46064127999999999</v>
      </c>
      <c r="G89" s="39">
        <v>4542</v>
      </c>
      <c r="I89" s="23">
        <f t="shared" si="1"/>
        <v>0</v>
      </c>
    </row>
    <row r="90" spans="1:9">
      <c r="A90" s="10">
        <v>44649</v>
      </c>
      <c r="B90" s="45">
        <v>-22.167488575229939</v>
      </c>
      <c r="C90" s="44">
        <v>10.847457627118644</v>
      </c>
      <c r="D90" s="42">
        <v>27</v>
      </c>
      <c r="E90" s="41">
        <v>0.46342180999999999</v>
      </c>
      <c r="G90" s="39">
        <v>7846</v>
      </c>
      <c r="I90" s="23">
        <f t="shared" si="1"/>
        <v>0</v>
      </c>
    </row>
    <row r="91" spans="1:9">
      <c r="A91" s="10">
        <v>44650</v>
      </c>
      <c r="B91" s="45">
        <v>-22.916488925120113</v>
      </c>
      <c r="C91" s="44">
        <v>10.847457627118644</v>
      </c>
      <c r="D91" s="42">
        <v>25</v>
      </c>
      <c r="E91" s="41">
        <v>0.46660712999999998</v>
      </c>
      <c r="G91" s="39">
        <v>9518</v>
      </c>
      <c r="I91" s="23">
        <f t="shared" si="1"/>
        <v>0</v>
      </c>
    </row>
    <row r="92" spans="1:9">
      <c r="A92" s="10">
        <v>44651</v>
      </c>
      <c r="B92" s="45">
        <v>-23.030688096975123</v>
      </c>
      <c r="C92" s="44">
        <v>10.847457627118644</v>
      </c>
      <c r="D92" s="42">
        <v>43</v>
      </c>
      <c r="E92" s="41">
        <v>0.46967572000000002</v>
      </c>
      <c r="G92" s="39">
        <v>8220</v>
      </c>
      <c r="I92" s="23">
        <f t="shared" si="1"/>
        <v>0</v>
      </c>
    </row>
    <row r="93" spans="1:9">
      <c r="A93" s="10">
        <v>44652</v>
      </c>
      <c r="B93" s="45">
        <v>-23.24451219948611</v>
      </c>
      <c r="C93" s="44">
        <v>10.847457627118644</v>
      </c>
      <c r="D93" s="42">
        <v>37</v>
      </c>
      <c r="E93" s="41">
        <v>0.47229449000000001</v>
      </c>
      <c r="G93" s="39">
        <v>7978</v>
      </c>
      <c r="I93" s="23">
        <f t="shared" si="1"/>
        <v>0</v>
      </c>
    </row>
    <row r="94" spans="1:9">
      <c r="A94" s="10">
        <v>44653</v>
      </c>
      <c r="B94" s="45">
        <v>-19.918545622568701</v>
      </c>
      <c r="C94" s="44">
        <v>10.847457627118644</v>
      </c>
      <c r="D94" s="42">
        <v>37</v>
      </c>
      <c r="E94" s="41">
        <v>0.47442548000000001</v>
      </c>
      <c r="G94" s="39">
        <v>7390</v>
      </c>
      <c r="I94" s="23">
        <f t="shared" si="1"/>
        <v>0</v>
      </c>
    </row>
    <row r="95" spans="1:9">
      <c r="A95" s="10">
        <v>44654</v>
      </c>
      <c r="B95" s="45">
        <v>-24.82855347710306</v>
      </c>
      <c r="C95" s="44">
        <v>10.847457627118644</v>
      </c>
      <c r="D95" s="42">
        <v>26</v>
      </c>
      <c r="E95" s="41">
        <v>0.47680242</v>
      </c>
      <c r="G95" s="39">
        <v>7894</v>
      </c>
      <c r="I95" s="23">
        <f t="shared" si="1"/>
        <v>0</v>
      </c>
    </row>
    <row r="96" spans="1:9">
      <c r="A96" s="10">
        <v>44655</v>
      </c>
      <c r="B96" s="45">
        <v>-25.011274663211658</v>
      </c>
      <c r="C96" s="44">
        <v>10.847457627118644</v>
      </c>
      <c r="D96" s="42">
        <v>21</v>
      </c>
      <c r="E96" s="41">
        <v>0.47821797999999999</v>
      </c>
      <c r="G96" s="39">
        <v>4381</v>
      </c>
      <c r="I96" s="23">
        <f t="shared" si="1"/>
        <v>0</v>
      </c>
    </row>
    <row r="97" spans="1:9">
      <c r="A97" s="10">
        <v>44656</v>
      </c>
      <c r="B97" s="45">
        <v>-22.952290738705386</v>
      </c>
      <c r="C97" s="44">
        <v>10.847457627118644</v>
      </c>
      <c r="D97" s="42">
        <v>19</v>
      </c>
      <c r="E97" s="41">
        <v>0.47968913000000002</v>
      </c>
      <c r="G97" s="39">
        <v>6967</v>
      </c>
      <c r="I97" s="23">
        <f t="shared" si="1"/>
        <v>0</v>
      </c>
    </row>
    <row r="98" spans="1:9">
      <c r="A98" s="10">
        <v>44657</v>
      </c>
      <c r="B98" s="45">
        <v>-25.323652121285146</v>
      </c>
      <c r="C98" s="44">
        <v>10.847457627118644</v>
      </c>
      <c r="D98" s="42">
        <v>24</v>
      </c>
      <c r="E98" s="41">
        <v>0.48122172000000002</v>
      </c>
      <c r="G98" s="39">
        <v>8650</v>
      </c>
      <c r="I98" s="23">
        <f t="shared" si="1"/>
        <v>0</v>
      </c>
    </row>
    <row r="99" spans="1:9">
      <c r="A99" s="10">
        <v>44658</v>
      </c>
      <c r="B99" s="45">
        <v>-25.727979023387714</v>
      </c>
      <c r="C99" s="44">
        <v>10.847457627118644</v>
      </c>
      <c r="D99" s="43">
        <v>18</v>
      </c>
      <c r="E99" s="41">
        <v>0.48251982999999998</v>
      </c>
      <c r="G99" s="39">
        <v>8749</v>
      </c>
      <c r="I99" s="23">
        <f t="shared" si="1"/>
        <v>0</v>
      </c>
    </row>
    <row r="100" spans="1:9">
      <c r="A100" s="10">
        <v>44659</v>
      </c>
      <c r="B100" s="45">
        <v>-24.531348310147187</v>
      </c>
      <c r="C100" s="44">
        <v>10.847457627118644</v>
      </c>
      <c r="D100" s="43">
        <v>38</v>
      </c>
      <c r="E100" s="41">
        <v>0.48298221000000002</v>
      </c>
      <c r="G100" s="39">
        <v>8109</v>
      </c>
      <c r="I100" s="23">
        <f t="shared" si="1"/>
        <v>0</v>
      </c>
    </row>
    <row r="101" spans="1:9">
      <c r="A101" s="10">
        <v>44660</v>
      </c>
      <c r="B101" s="45">
        <v>-18.152790179268315</v>
      </c>
      <c r="C101" s="44">
        <v>10.847457627118644</v>
      </c>
      <c r="D101" s="43">
        <v>55</v>
      </c>
      <c r="E101" s="41">
        <v>0.48415743999999999</v>
      </c>
      <c r="G101" s="39">
        <v>8096</v>
      </c>
      <c r="I101" s="23">
        <f t="shared" si="1"/>
        <v>0</v>
      </c>
    </row>
    <row r="102" spans="1:9">
      <c r="A102" s="10">
        <v>44661</v>
      </c>
      <c r="B102" s="45">
        <v>-21.700155569291546</v>
      </c>
      <c r="C102" s="44">
        <v>10.847457627118644</v>
      </c>
      <c r="D102" s="43">
        <v>36</v>
      </c>
      <c r="E102" s="41">
        <v>0.48589831</v>
      </c>
      <c r="G102" s="39">
        <v>8023</v>
      </c>
      <c r="I102" s="23">
        <f t="shared" si="1"/>
        <v>0</v>
      </c>
    </row>
    <row r="103" spans="1:9">
      <c r="A103" s="10">
        <v>44662</v>
      </c>
      <c r="B103" s="45">
        <v>-24.648476998408949</v>
      </c>
      <c r="C103" s="44">
        <v>10.847457627118644</v>
      </c>
      <c r="D103" s="43">
        <v>20</v>
      </c>
      <c r="E103" s="41">
        <v>0.4868884</v>
      </c>
      <c r="G103" s="39">
        <v>4557</v>
      </c>
      <c r="I103" s="23">
        <f t="shared" si="1"/>
        <v>0</v>
      </c>
    </row>
    <row r="104" spans="1:9">
      <c r="A104" s="10">
        <v>44663</v>
      </c>
      <c r="B104" s="45">
        <v>-23.677293631052233</v>
      </c>
      <c r="C104" s="44">
        <v>10.847457627118644</v>
      </c>
      <c r="D104" s="43">
        <v>28</v>
      </c>
      <c r="E104" s="41">
        <v>0.48816906999999998</v>
      </c>
      <c r="G104" s="39">
        <v>6918</v>
      </c>
      <c r="I104" s="23">
        <f t="shared" si="1"/>
        <v>0</v>
      </c>
    </row>
    <row r="105" spans="1:9">
      <c r="A105" s="10">
        <v>44664</v>
      </c>
      <c r="B105" s="45">
        <v>-25.456814637012005</v>
      </c>
      <c r="C105" s="44">
        <v>10.847457627118644</v>
      </c>
      <c r="D105" s="43">
        <v>27</v>
      </c>
      <c r="E105" s="41">
        <v>0.48976127000000003</v>
      </c>
      <c r="G105" s="39">
        <v>8248</v>
      </c>
      <c r="I105" s="23">
        <f t="shared" si="1"/>
        <v>0</v>
      </c>
    </row>
    <row r="106" spans="1:9">
      <c r="A106" s="10">
        <v>44665</v>
      </c>
      <c r="B106" s="45">
        <v>-27.49902766978936</v>
      </c>
      <c r="C106" s="44">
        <v>10.847457627118644</v>
      </c>
      <c r="D106" s="43">
        <v>28</v>
      </c>
      <c r="E106" s="41">
        <v>0.49133656999999997</v>
      </c>
      <c r="G106" s="39">
        <v>8535</v>
      </c>
      <c r="I106" s="23">
        <f t="shared" si="1"/>
        <v>0</v>
      </c>
    </row>
    <row r="107" spans="1:9">
      <c r="A107" s="10">
        <v>44666</v>
      </c>
      <c r="B107" s="45">
        <v>-25.667329685752378</v>
      </c>
      <c r="C107" s="44">
        <v>10.847457627118644</v>
      </c>
      <c r="D107" s="43">
        <v>33</v>
      </c>
      <c r="E107" s="41">
        <v>0.49186236999999999</v>
      </c>
      <c r="G107" s="39">
        <v>6760</v>
      </c>
      <c r="I107" s="23">
        <f t="shared" si="1"/>
        <v>0</v>
      </c>
    </row>
    <row r="108" spans="1:9">
      <c r="A108" s="10">
        <v>44667</v>
      </c>
      <c r="B108" s="45">
        <v>-16.574865283388799</v>
      </c>
      <c r="C108" s="44">
        <v>10.847457627118644</v>
      </c>
      <c r="D108" s="43">
        <v>42</v>
      </c>
      <c r="E108" s="41">
        <v>0.49281450999999998</v>
      </c>
      <c r="G108" s="39">
        <v>6793</v>
      </c>
      <c r="I108" s="23">
        <f t="shared" si="1"/>
        <v>0</v>
      </c>
    </row>
    <row r="109" spans="1:9">
      <c r="A109" s="10">
        <v>44668</v>
      </c>
      <c r="B109" s="45">
        <v>-19.777451489065818</v>
      </c>
      <c r="C109" s="44">
        <v>10.847457627118644</v>
      </c>
      <c r="D109" s="43">
        <v>33</v>
      </c>
      <c r="E109" s="41">
        <v>0.49411875</v>
      </c>
      <c r="G109" s="39">
        <v>5219</v>
      </c>
      <c r="I109" s="23">
        <f t="shared" si="1"/>
        <v>0</v>
      </c>
    </row>
    <row r="110" spans="1:9">
      <c r="A110" s="10">
        <v>44669</v>
      </c>
      <c r="B110" s="45">
        <v>-24.130919745943039</v>
      </c>
      <c r="C110" s="44">
        <v>10.847457627118644</v>
      </c>
      <c r="D110" s="43">
        <v>28</v>
      </c>
      <c r="E110" s="41">
        <v>0.49510959999999998</v>
      </c>
      <c r="G110" s="39">
        <v>3471</v>
      </c>
      <c r="I110" s="23">
        <f t="shared" si="1"/>
        <v>0</v>
      </c>
    </row>
    <row r="111" spans="1:9">
      <c r="A111" s="10">
        <v>44670</v>
      </c>
      <c r="B111" s="45">
        <v>-23.24633395036733</v>
      </c>
      <c r="C111" s="44">
        <v>10.847457627118644</v>
      </c>
      <c r="D111" s="43">
        <v>23</v>
      </c>
      <c r="E111" s="41">
        <v>0.49630274000000002</v>
      </c>
      <c r="G111" s="39">
        <v>5581</v>
      </c>
      <c r="I111" s="23">
        <f t="shared" si="1"/>
        <v>0</v>
      </c>
    </row>
    <row r="112" spans="1:9">
      <c r="A112" s="10">
        <v>44671</v>
      </c>
      <c r="B112" s="45">
        <v>-24.746881528193086</v>
      </c>
      <c r="C112" s="44">
        <v>10.847457627118644</v>
      </c>
      <c r="D112" s="43">
        <v>20</v>
      </c>
      <c r="E112" s="41">
        <v>0.49767542999999997</v>
      </c>
      <c r="G112" s="39">
        <v>6770</v>
      </c>
      <c r="I112" s="23">
        <f t="shared" si="1"/>
        <v>0</v>
      </c>
    </row>
    <row r="113" spans="1:9">
      <c r="A113" s="10">
        <v>44672</v>
      </c>
      <c r="B113" s="45">
        <v>-24.343255677834939</v>
      </c>
      <c r="C113" s="44">
        <v>10.847457627118644</v>
      </c>
      <c r="D113" s="43">
        <v>32</v>
      </c>
      <c r="E113" s="41">
        <v>0.49896009000000002</v>
      </c>
      <c r="G113" s="39">
        <v>6709</v>
      </c>
      <c r="I113" s="23">
        <f t="shared" si="1"/>
        <v>0</v>
      </c>
    </row>
    <row r="114" spans="1:9">
      <c r="A114" s="10">
        <v>44673</v>
      </c>
      <c r="B114" s="45">
        <v>-22.429629860974202</v>
      </c>
      <c r="C114" s="44">
        <v>10.847457627118644</v>
      </c>
      <c r="D114" s="43">
        <v>60</v>
      </c>
      <c r="E114" s="41">
        <v>0.49933838000000003</v>
      </c>
      <c r="G114" s="39">
        <v>5392</v>
      </c>
      <c r="I114" s="23">
        <f t="shared" si="1"/>
        <v>0</v>
      </c>
    </row>
    <row r="115" spans="1:9">
      <c r="A115" s="10">
        <v>44674</v>
      </c>
      <c r="B115" s="45">
        <v>-14.042489587951371</v>
      </c>
      <c r="C115" s="44">
        <v>10.847457627118644</v>
      </c>
      <c r="D115" s="43">
        <v>60</v>
      </c>
      <c r="E115" s="41">
        <v>0.50003662000000004</v>
      </c>
      <c r="G115" s="39">
        <v>5386</v>
      </c>
      <c r="I115" s="23">
        <f t="shared" si="1"/>
        <v>0</v>
      </c>
    </row>
    <row r="116" spans="1:9">
      <c r="A116" s="10">
        <v>44675</v>
      </c>
      <c r="B116" s="45">
        <v>-18.974277824609306</v>
      </c>
      <c r="C116" s="44">
        <v>10.847457627118644</v>
      </c>
      <c r="D116" s="43">
        <v>30</v>
      </c>
      <c r="E116" s="41">
        <v>0.50124351</v>
      </c>
      <c r="G116" s="39">
        <v>4935</v>
      </c>
      <c r="I116" s="23">
        <f t="shared" si="1"/>
        <v>0</v>
      </c>
    </row>
    <row r="117" spans="1:9">
      <c r="A117" s="10">
        <v>44676</v>
      </c>
      <c r="B117" s="45">
        <v>-20.988182692269071</v>
      </c>
      <c r="C117" s="44">
        <v>10.847457627118644</v>
      </c>
      <c r="D117" s="43">
        <v>31</v>
      </c>
      <c r="E117" s="41">
        <v>0.50207288000000005</v>
      </c>
      <c r="G117" s="39">
        <v>3136</v>
      </c>
      <c r="I117" s="23">
        <f t="shared" si="1"/>
        <v>0</v>
      </c>
    </row>
    <row r="118" spans="1:9">
      <c r="A118" s="10">
        <v>44677</v>
      </c>
      <c r="B118" s="45">
        <v>-21.445233412390813</v>
      </c>
      <c r="C118" s="44">
        <v>10.847457627118644</v>
      </c>
      <c r="D118" s="43">
        <v>28</v>
      </c>
      <c r="E118" s="41">
        <v>0.50309121999999995</v>
      </c>
      <c r="G118" s="39">
        <v>5042</v>
      </c>
      <c r="I118" s="23">
        <f t="shared" si="1"/>
        <v>0</v>
      </c>
    </row>
    <row r="119" spans="1:9">
      <c r="A119" s="10">
        <v>44678</v>
      </c>
      <c r="B119" s="45">
        <v>-22.099197020279775</v>
      </c>
      <c r="C119" s="44">
        <v>10.847457627118644</v>
      </c>
      <c r="D119" s="43">
        <v>32</v>
      </c>
      <c r="E119" s="41">
        <v>0.50428304000000002</v>
      </c>
      <c r="G119" s="39">
        <v>6049</v>
      </c>
      <c r="I119" s="23">
        <f t="shared" si="1"/>
        <v>0</v>
      </c>
    </row>
    <row r="120" spans="1:9">
      <c r="A120" s="10">
        <v>44679</v>
      </c>
      <c r="B120" s="45">
        <v>-15.125704309430057</v>
      </c>
      <c r="C120" s="44">
        <v>10.847457627118644</v>
      </c>
      <c r="D120" s="43">
        <v>66</v>
      </c>
      <c r="E120" s="41">
        <v>0.50499601999999999</v>
      </c>
      <c r="G120" s="39">
        <v>5392</v>
      </c>
      <c r="I120" s="23">
        <f t="shared" si="1"/>
        <v>0</v>
      </c>
    </row>
    <row r="121" spans="1:9">
      <c r="A121" s="10">
        <v>44680</v>
      </c>
      <c r="B121" s="45">
        <v>-31.53397501088223</v>
      </c>
      <c r="C121" s="44">
        <v>10.847457627118644</v>
      </c>
      <c r="D121" s="43">
        <v>54</v>
      </c>
      <c r="E121" s="41">
        <v>0.50588513000000002</v>
      </c>
      <c r="G121" s="39">
        <v>3892</v>
      </c>
      <c r="I121" s="23">
        <f t="shared" si="1"/>
        <v>0</v>
      </c>
    </row>
    <row r="122" spans="1:9">
      <c r="A122" s="10">
        <v>44681</v>
      </c>
      <c r="B122" s="45">
        <v>-16.908846963178501</v>
      </c>
      <c r="C122" s="44">
        <v>10.847457627118644</v>
      </c>
      <c r="D122" s="42">
        <v>62</v>
      </c>
      <c r="E122" s="41">
        <v>0.50617462999999996</v>
      </c>
      <c r="G122" s="39">
        <v>2978</v>
      </c>
      <c r="I122" s="23">
        <f t="shared" si="1"/>
        <v>0</v>
      </c>
    </row>
    <row r="123" spans="1:9">
      <c r="A123" s="10">
        <v>44682</v>
      </c>
      <c r="B123" s="45">
        <v>-20.874284994287589</v>
      </c>
      <c r="C123" s="44">
        <v>10.847457627118644</v>
      </c>
      <c r="D123" s="42">
        <v>44</v>
      </c>
      <c r="E123" s="41">
        <v>0.50695239000000003</v>
      </c>
      <c r="G123" s="39">
        <v>3156</v>
      </c>
      <c r="I123" s="23">
        <f t="shared" si="1"/>
        <v>0</v>
      </c>
    </row>
    <row r="124" spans="1:9">
      <c r="A124" s="10">
        <v>44683</v>
      </c>
      <c r="B124" s="45">
        <v>-21.112413961082236</v>
      </c>
      <c r="C124" s="44">
        <v>10.847457627118644</v>
      </c>
      <c r="D124" s="42">
        <v>67</v>
      </c>
      <c r="E124" s="41">
        <v>0.50739612999999995</v>
      </c>
      <c r="G124" s="39">
        <v>2397</v>
      </c>
      <c r="I124" s="23">
        <f t="shared" si="1"/>
        <v>0</v>
      </c>
    </row>
    <row r="125" spans="1:9">
      <c r="A125" s="10">
        <v>44684</v>
      </c>
      <c r="B125" s="45">
        <v>-24.766189911494184</v>
      </c>
      <c r="C125" s="44">
        <v>10.847457627118644</v>
      </c>
      <c r="D125" s="42">
        <v>89</v>
      </c>
      <c r="E125" s="41">
        <v>0.50810770000000005</v>
      </c>
      <c r="G125" s="39">
        <v>3349</v>
      </c>
      <c r="I125" s="23">
        <f t="shared" si="1"/>
        <v>0</v>
      </c>
    </row>
    <row r="126" spans="1:9">
      <c r="A126" s="10">
        <v>44685</v>
      </c>
      <c r="B126" s="45">
        <v>-29.684341460170167</v>
      </c>
      <c r="C126" s="44">
        <v>10.847457627118644</v>
      </c>
      <c r="D126" s="42">
        <v>83</v>
      </c>
      <c r="E126" s="41">
        <v>0.50875004000000001</v>
      </c>
      <c r="G126" s="39">
        <v>2992</v>
      </c>
      <c r="I126" s="23">
        <f t="shared" si="1"/>
        <v>0</v>
      </c>
    </row>
    <row r="127" spans="1:9">
      <c r="A127" s="10">
        <v>44686</v>
      </c>
      <c r="B127" s="45">
        <v>-35.028391347008402</v>
      </c>
      <c r="C127" s="44">
        <v>10.847457627118644</v>
      </c>
      <c r="D127" s="42">
        <v>59</v>
      </c>
      <c r="E127" s="41">
        <v>0.50917243000000001</v>
      </c>
      <c r="G127" s="39">
        <v>2312</v>
      </c>
      <c r="I127" s="23">
        <f t="shared" si="1"/>
        <v>0</v>
      </c>
    </row>
    <row r="128" spans="1:9">
      <c r="A128" s="10">
        <v>44687</v>
      </c>
      <c r="B128" s="45">
        <v>-31.738541449103362</v>
      </c>
      <c r="C128" s="44">
        <v>10.847457627118644</v>
      </c>
      <c r="D128" s="42">
        <v>49</v>
      </c>
      <c r="E128" s="41">
        <v>0.50879960000000002</v>
      </c>
      <c r="G128" s="39">
        <v>2678</v>
      </c>
      <c r="I128" s="23">
        <f t="shared" si="1"/>
        <v>0</v>
      </c>
    </row>
    <row r="129" spans="1:9">
      <c r="A129" s="10">
        <v>44688</v>
      </c>
      <c r="B129" s="45">
        <v>-23.216604954074594</v>
      </c>
      <c r="C129" s="44">
        <v>10.847457627118644</v>
      </c>
      <c r="D129" s="42">
        <v>49</v>
      </c>
      <c r="E129" s="41">
        <v>0.50865068000000002</v>
      </c>
      <c r="G129" s="39">
        <v>3802</v>
      </c>
      <c r="I129" s="23">
        <f t="shared" si="1"/>
        <v>0</v>
      </c>
    </row>
    <row r="130" spans="1:9">
      <c r="A130" s="10">
        <v>44689</v>
      </c>
      <c r="B130" s="45">
        <v>-25.099686103848335</v>
      </c>
      <c r="C130" s="44">
        <v>10.849051539259772</v>
      </c>
      <c r="D130" s="42">
        <v>30</v>
      </c>
      <c r="E130" s="41">
        <v>0.50882324000000001</v>
      </c>
      <c r="G130" s="39">
        <v>4709</v>
      </c>
      <c r="I130" s="23">
        <f t="shared" si="1"/>
        <v>1.5939121411285839E-3</v>
      </c>
    </row>
    <row r="131" spans="1:9">
      <c r="A131" s="10">
        <v>44690</v>
      </c>
      <c r="B131" s="45">
        <v>-25.187068116494022</v>
      </c>
      <c r="C131" s="44">
        <v>10.852239363542026</v>
      </c>
      <c r="D131" s="42">
        <v>25</v>
      </c>
      <c r="E131" s="41">
        <v>0.50865214999999997</v>
      </c>
      <c r="G131" s="39">
        <v>3011</v>
      </c>
      <c r="I131" s="23">
        <f t="shared" si="1"/>
        <v>3.1878242822536151E-3</v>
      </c>
    </row>
    <row r="132" spans="1:9">
      <c r="A132" s="10">
        <v>44691</v>
      </c>
      <c r="B132" s="45">
        <v>-22.865484178862729</v>
      </c>
      <c r="C132" s="44">
        <v>10.857021099965408</v>
      </c>
      <c r="D132" s="42">
        <v>29</v>
      </c>
      <c r="E132" s="41">
        <v>0.50858270000000005</v>
      </c>
      <c r="G132" s="39">
        <v>4447</v>
      </c>
      <c r="I132" s="23">
        <f t="shared" si="1"/>
        <v>4.7817364233821991E-3</v>
      </c>
    </row>
    <row r="133" spans="1:9">
      <c r="A133" s="10">
        <v>44692</v>
      </c>
      <c r="B133" s="45">
        <v>-24.227464142057663</v>
      </c>
      <c r="C133" s="44">
        <v>10.863396748529921</v>
      </c>
      <c r="D133" s="42">
        <v>27</v>
      </c>
      <c r="E133" s="41">
        <v>0.50825664000000004</v>
      </c>
      <c r="G133" s="39">
        <v>4761</v>
      </c>
      <c r="I133" s="23">
        <f t="shared" ref="I133:I196" si="2">C133-C132</f>
        <v>6.3756485645125593E-3</v>
      </c>
    </row>
    <row r="134" spans="1:9">
      <c r="A134" s="10">
        <v>44693</v>
      </c>
      <c r="B134" s="45">
        <v>-26.111558512381698</v>
      </c>
      <c r="C134" s="44">
        <v>10.871366309235558</v>
      </c>
      <c r="D134" s="42">
        <v>26</v>
      </c>
      <c r="E134" s="41">
        <v>0.50790506000000002</v>
      </c>
      <c r="G134" s="39">
        <v>4213</v>
      </c>
      <c r="I134" s="23">
        <f t="shared" si="2"/>
        <v>7.9695607056375906E-3</v>
      </c>
    </row>
    <row r="135" spans="1:9">
      <c r="A135" s="10">
        <v>44694</v>
      </c>
      <c r="B135" s="45">
        <v>-27.276175752760899</v>
      </c>
      <c r="C135" s="44">
        <v>10.880929782082323</v>
      </c>
      <c r="D135" s="42">
        <v>65</v>
      </c>
      <c r="E135" s="41">
        <v>0.50725606000000001</v>
      </c>
      <c r="G135" s="39">
        <v>4100</v>
      </c>
      <c r="I135" s="23">
        <f t="shared" si="2"/>
        <v>9.5634728467643981E-3</v>
      </c>
    </row>
    <row r="136" spans="1:9">
      <c r="A136" s="10">
        <v>44695</v>
      </c>
      <c r="B136" s="45">
        <v>-20.330812795424318</v>
      </c>
      <c r="C136" s="44">
        <v>10.892087167070217</v>
      </c>
      <c r="D136" s="42">
        <v>48</v>
      </c>
      <c r="E136" s="41">
        <v>0.50675499000000002</v>
      </c>
      <c r="G136" s="39">
        <v>3795</v>
      </c>
      <c r="I136" s="23">
        <f t="shared" si="2"/>
        <v>1.1157384987894758E-2</v>
      </c>
    </row>
    <row r="137" spans="1:9">
      <c r="A137" s="10">
        <v>44696</v>
      </c>
      <c r="B137" s="45">
        <v>-21.588749799015673</v>
      </c>
      <c r="C137" s="44">
        <v>10.922969214804565</v>
      </c>
      <c r="D137" s="42">
        <v>32</v>
      </c>
      <c r="E137" s="41">
        <v>0.50653649000000001</v>
      </c>
      <c r="G137" s="39">
        <v>3346</v>
      </c>
      <c r="I137" s="23">
        <f t="shared" si="2"/>
        <v>3.0882047734348106E-2</v>
      </c>
    </row>
    <row r="138" spans="1:9">
      <c r="A138" s="10">
        <v>44697</v>
      </c>
      <c r="B138" s="45">
        <v>-24.807801227048529</v>
      </c>
      <c r="C138" s="44">
        <v>10.973575925285369</v>
      </c>
      <c r="D138" s="42">
        <v>21</v>
      </c>
      <c r="E138" s="41">
        <v>0.50613101000000005</v>
      </c>
      <c r="G138" s="39">
        <v>2374</v>
      </c>
      <c r="I138" s="23">
        <f t="shared" si="2"/>
        <v>5.060671048080323E-2</v>
      </c>
    </row>
    <row r="139" spans="1:9">
      <c r="A139" s="10">
        <v>44698</v>
      </c>
      <c r="B139" s="45">
        <v>-23.270123503210506</v>
      </c>
      <c r="C139" s="44">
        <v>11.043907298512625</v>
      </c>
      <c r="D139" s="42">
        <v>25</v>
      </c>
      <c r="E139" s="41">
        <v>0.50589276999999999</v>
      </c>
      <c r="G139" s="39">
        <v>3662</v>
      </c>
      <c r="I139" s="23">
        <f t="shared" si="2"/>
        <v>7.0331373227256577E-2</v>
      </c>
    </row>
    <row r="140" spans="1:9">
      <c r="A140" s="10">
        <v>44699</v>
      </c>
      <c r="B140" s="45">
        <v>-24.28836927804257</v>
      </c>
      <c r="C140" s="44">
        <v>11.133963334486335</v>
      </c>
      <c r="D140" s="42">
        <v>35</v>
      </c>
      <c r="E140" s="41">
        <v>0.50166582999999998</v>
      </c>
      <c r="G140" s="39">
        <v>4352</v>
      </c>
      <c r="I140" s="23">
        <f t="shared" si="2"/>
        <v>9.0056035973709925E-2</v>
      </c>
    </row>
    <row r="141" spans="1:9">
      <c r="A141" s="10">
        <v>44700</v>
      </c>
      <c r="B141" s="45">
        <v>-22.838724566917694</v>
      </c>
      <c r="C141" s="44">
        <v>11.243744033206502</v>
      </c>
      <c r="D141" s="42">
        <v>30</v>
      </c>
      <c r="E141" s="41">
        <v>0.49734711999999998</v>
      </c>
      <c r="G141" s="39">
        <v>4169</v>
      </c>
      <c r="I141" s="23">
        <f t="shared" si="2"/>
        <v>0.10978069872016682</v>
      </c>
    </row>
    <row r="142" spans="1:9">
      <c r="A142" s="10">
        <v>44701</v>
      </c>
      <c r="B142" s="45">
        <v>-21.815963079141316</v>
      </c>
      <c r="C142" s="44">
        <v>11.373249394673122</v>
      </c>
      <c r="D142" s="42">
        <v>54</v>
      </c>
      <c r="E142" s="41">
        <v>0.49269182</v>
      </c>
      <c r="G142" s="39">
        <v>3571</v>
      </c>
      <c r="I142" s="23">
        <f t="shared" si="2"/>
        <v>0.12950536146662017</v>
      </c>
    </row>
    <row r="143" spans="1:9">
      <c r="A143" s="10">
        <v>44702</v>
      </c>
      <c r="B143" s="45">
        <v>-15.841104644991288</v>
      </c>
      <c r="C143" s="44">
        <v>11.522479418886197</v>
      </c>
      <c r="D143" s="42">
        <v>63</v>
      </c>
      <c r="E143" s="41">
        <v>0.48804502</v>
      </c>
      <c r="G143" s="39">
        <v>3462</v>
      </c>
      <c r="I143" s="23">
        <f t="shared" si="2"/>
        <v>0.1492300242130753</v>
      </c>
    </row>
    <row r="144" spans="1:9">
      <c r="A144" s="10">
        <v>44703</v>
      </c>
      <c r="B144" s="45">
        <v>-16.773653256539998</v>
      </c>
      <c r="C144" s="44">
        <v>11.654574887582152</v>
      </c>
      <c r="D144" s="42">
        <v>45</v>
      </c>
      <c r="E144" s="41">
        <v>0.48360977999999999</v>
      </c>
      <c r="G144" s="39">
        <v>3313</v>
      </c>
      <c r="I144" s="23">
        <f t="shared" si="2"/>
        <v>0.13209546869595457</v>
      </c>
    </row>
    <row r="145" spans="1:9">
      <c r="A145" s="10">
        <v>44704</v>
      </c>
      <c r="B145" s="45">
        <v>-22.379412227614178</v>
      </c>
      <c r="C145" s="44">
        <v>11.76953580076098</v>
      </c>
      <c r="D145" s="42">
        <v>21</v>
      </c>
      <c r="E145" s="41">
        <v>0.47897766000000003</v>
      </c>
      <c r="G145" s="39">
        <v>2020</v>
      </c>
      <c r="I145" s="23">
        <f t="shared" si="2"/>
        <v>0.11496091317882851</v>
      </c>
    </row>
    <row r="146" spans="1:9">
      <c r="A146" s="10">
        <v>44705</v>
      </c>
      <c r="B146" s="45">
        <v>-22.458856366055418</v>
      </c>
      <c r="C146" s="44">
        <v>11.86736215842269</v>
      </c>
      <c r="D146" s="42">
        <v>30</v>
      </c>
      <c r="E146" s="41">
        <v>0.47446143000000002</v>
      </c>
      <c r="G146" s="39">
        <v>3267</v>
      </c>
      <c r="I146" s="23">
        <f t="shared" si="2"/>
        <v>9.7826357661709551E-2</v>
      </c>
    </row>
    <row r="147" spans="1:9">
      <c r="A147" s="10">
        <v>44706</v>
      </c>
      <c r="B147" s="45">
        <v>-21.872117322305172</v>
      </c>
      <c r="C147" s="44">
        <v>11.948053960567277</v>
      </c>
      <c r="D147" s="42">
        <v>34</v>
      </c>
      <c r="E147" s="41">
        <v>0.47356405000000001</v>
      </c>
      <c r="G147" s="39">
        <v>3924</v>
      </c>
      <c r="I147" s="23">
        <f t="shared" si="2"/>
        <v>8.0691802144587044E-2</v>
      </c>
    </row>
    <row r="148" spans="1:9">
      <c r="A148" s="10">
        <v>44707</v>
      </c>
      <c r="B148" s="45">
        <v>-22.702372416199733</v>
      </c>
      <c r="C148" s="44">
        <v>12.011611207194742</v>
      </c>
      <c r="D148" s="42">
        <v>37</v>
      </c>
      <c r="E148" s="41">
        <v>0.47254794999999999</v>
      </c>
      <c r="G148" s="39">
        <v>3388</v>
      </c>
      <c r="I148" s="23">
        <f t="shared" si="2"/>
        <v>6.3557246627464536E-2</v>
      </c>
    </row>
    <row r="149" spans="1:9">
      <c r="A149" s="10">
        <v>44708</v>
      </c>
      <c r="B149" s="45">
        <v>-23.384631100475044</v>
      </c>
      <c r="C149" s="44">
        <v>12.058033898305084</v>
      </c>
      <c r="D149" s="42">
        <v>54</v>
      </c>
      <c r="E149" s="41">
        <v>0.47123408</v>
      </c>
      <c r="G149" s="39">
        <v>2629</v>
      </c>
      <c r="I149" s="23">
        <f t="shared" si="2"/>
        <v>4.6422691110342029E-2</v>
      </c>
    </row>
    <row r="150" spans="1:9">
      <c r="A150" s="10">
        <v>44709</v>
      </c>
      <c r="B150" s="45">
        <v>-12.362785745952259</v>
      </c>
      <c r="C150" s="44">
        <v>12.087322033898303</v>
      </c>
      <c r="D150" s="42">
        <v>79</v>
      </c>
      <c r="E150" s="41">
        <v>0.46993314000000003</v>
      </c>
      <c r="G150" s="39">
        <v>2548</v>
      </c>
      <c r="I150" s="23">
        <f t="shared" si="2"/>
        <v>2.9288135593219522E-2</v>
      </c>
    </row>
    <row r="151" spans="1:9">
      <c r="A151" s="10">
        <v>44710</v>
      </c>
      <c r="B151" s="45">
        <v>-15.994152257663814</v>
      </c>
      <c r="C151" s="44">
        <v>12.135338637149772</v>
      </c>
      <c r="D151" s="42">
        <v>52</v>
      </c>
      <c r="E151" s="41">
        <v>0.46873725999999999</v>
      </c>
      <c r="G151" s="39">
        <v>2190</v>
      </c>
      <c r="I151" s="23">
        <f t="shared" si="2"/>
        <v>4.8016603251468837E-2</v>
      </c>
    </row>
    <row r="152" spans="1:9">
      <c r="A152" s="10">
        <v>44711</v>
      </c>
      <c r="B152" s="45">
        <v>-22.34994290547067</v>
      </c>
      <c r="C152" s="44">
        <v>12.202083708059492</v>
      </c>
      <c r="D152" s="42">
        <v>30</v>
      </c>
      <c r="E152" s="41">
        <v>0.46745249999999999</v>
      </c>
      <c r="G152" s="39">
        <v>1341</v>
      </c>
      <c r="I152" s="23">
        <f t="shared" si="2"/>
        <v>6.6745070909719928E-2</v>
      </c>
    </row>
    <row r="153" spans="1:9">
      <c r="A153" s="10">
        <v>44712</v>
      </c>
      <c r="B153" s="45">
        <v>-22.404227164921618</v>
      </c>
      <c r="C153" s="44">
        <v>12.287557246627463</v>
      </c>
      <c r="D153" s="42">
        <v>42</v>
      </c>
      <c r="E153" s="41">
        <v>0.46631340999999998</v>
      </c>
      <c r="G153" s="39">
        <v>2356</v>
      </c>
      <c r="I153" s="23">
        <f t="shared" si="2"/>
        <v>8.5473538567971019E-2</v>
      </c>
    </row>
    <row r="154" spans="1:9">
      <c r="A154" s="10">
        <v>44713</v>
      </c>
      <c r="B154" s="45">
        <v>-23.323811609863078</v>
      </c>
      <c r="C154" s="44">
        <v>12.391759252853685</v>
      </c>
      <c r="D154" s="42">
        <v>29</v>
      </c>
      <c r="E154" s="41">
        <v>0.46130268000000002</v>
      </c>
      <c r="G154" s="39">
        <v>2412</v>
      </c>
      <c r="I154" s="23">
        <f t="shared" si="2"/>
        <v>0.10420200622622211</v>
      </c>
    </row>
    <row r="155" spans="1:9">
      <c r="A155" s="10">
        <v>44714</v>
      </c>
      <c r="B155" s="45">
        <v>-24.115179508318938</v>
      </c>
      <c r="C155" s="44">
        <v>12.514689726738153</v>
      </c>
      <c r="D155" s="42">
        <v>43</v>
      </c>
      <c r="E155" s="41">
        <v>0.45623212000000002</v>
      </c>
      <c r="G155" s="39">
        <v>2333</v>
      </c>
      <c r="I155" s="23">
        <f t="shared" si="2"/>
        <v>0.12293047388446787</v>
      </c>
    </row>
    <row r="156" spans="1:9">
      <c r="A156" s="10">
        <v>44715</v>
      </c>
      <c r="B156" s="45">
        <v>-23.742427170378988</v>
      </c>
      <c r="C156" s="44">
        <v>12.65634866828087</v>
      </c>
      <c r="D156" s="42">
        <v>73</v>
      </c>
      <c r="E156" s="41">
        <v>0.45094564999999998</v>
      </c>
      <c r="G156" s="39">
        <v>2109</v>
      </c>
      <c r="I156" s="23">
        <f t="shared" si="2"/>
        <v>0.14165894154271719</v>
      </c>
    </row>
    <row r="157" spans="1:9">
      <c r="A157" s="10">
        <v>44716</v>
      </c>
      <c r="B157" s="45">
        <v>-14.082764078900537</v>
      </c>
      <c r="C157" s="44">
        <v>12.816736077481838</v>
      </c>
      <c r="D157" s="42">
        <v>48</v>
      </c>
      <c r="E157" s="41">
        <v>0.44561826999999998</v>
      </c>
      <c r="G157" s="39">
        <v>2071</v>
      </c>
      <c r="I157" s="23">
        <f t="shared" si="2"/>
        <v>0.16038740920096828</v>
      </c>
    </row>
    <row r="158" spans="1:9">
      <c r="A158" s="10">
        <v>44717</v>
      </c>
      <c r="B158" s="45">
        <v>-18.631490839145084</v>
      </c>
      <c r="C158" s="44">
        <v>12.970747838118298</v>
      </c>
      <c r="D158" s="42">
        <v>41</v>
      </c>
      <c r="E158" s="41">
        <v>0.44031534</v>
      </c>
      <c r="G158" s="39">
        <v>1583</v>
      </c>
      <c r="I158" s="23">
        <f t="shared" si="2"/>
        <v>0.15401176063645927</v>
      </c>
    </row>
    <row r="159" spans="1:9">
      <c r="A159" s="10">
        <v>44718</v>
      </c>
      <c r="B159" s="45">
        <v>-25.318493259485962</v>
      </c>
      <c r="C159" s="44">
        <v>13.118383950190246</v>
      </c>
      <c r="D159" s="42">
        <v>22</v>
      </c>
      <c r="E159" s="41">
        <v>0.43489652000000001</v>
      </c>
      <c r="G159" s="39">
        <v>1012</v>
      </c>
      <c r="I159" s="23">
        <f t="shared" si="2"/>
        <v>0.14763611207194849</v>
      </c>
    </row>
    <row r="160" spans="1:9">
      <c r="A160" s="10">
        <v>44719</v>
      </c>
      <c r="B160" s="45">
        <v>-22.337847804708741</v>
      </c>
      <c r="C160" s="44">
        <v>13.259644413697684</v>
      </c>
      <c r="D160" s="42">
        <v>31</v>
      </c>
      <c r="E160" s="41">
        <v>0.42953708000000002</v>
      </c>
      <c r="G160" s="39">
        <v>1795</v>
      </c>
      <c r="I160" s="23">
        <f t="shared" si="2"/>
        <v>0.14126046350743771</v>
      </c>
    </row>
    <row r="161" spans="1:9">
      <c r="A161" s="10">
        <v>44720</v>
      </c>
      <c r="B161" s="45">
        <v>-23.805446221531028</v>
      </c>
      <c r="C161" s="44">
        <v>13.394529228640609</v>
      </c>
      <c r="D161" s="42">
        <v>36</v>
      </c>
      <c r="E161" s="41">
        <v>0.42550007000000001</v>
      </c>
      <c r="G161" s="39">
        <v>1933</v>
      </c>
      <c r="I161" s="23">
        <f t="shared" si="2"/>
        <v>0.13488481494292515</v>
      </c>
    </row>
    <row r="162" spans="1:9">
      <c r="A162" s="10">
        <v>44721</v>
      </c>
      <c r="B162" s="45">
        <v>-23.626807326382142</v>
      </c>
      <c r="C162" s="44">
        <v>13.523038395019025</v>
      </c>
      <c r="D162" s="42">
        <v>48</v>
      </c>
      <c r="E162" s="41">
        <v>0.42146375000000003</v>
      </c>
      <c r="G162" s="39">
        <v>1874</v>
      </c>
      <c r="I162" s="23">
        <f t="shared" si="2"/>
        <v>0.12850916637841614</v>
      </c>
    </row>
    <row r="163" spans="1:9">
      <c r="A163" s="10">
        <v>44722</v>
      </c>
      <c r="B163" s="45">
        <v>-21.027302202017164</v>
      </c>
      <c r="C163" s="44">
        <v>13.645171912832927</v>
      </c>
      <c r="D163" s="42">
        <v>57</v>
      </c>
      <c r="E163" s="41">
        <v>0.41729000999999999</v>
      </c>
      <c r="G163" s="39">
        <v>1597</v>
      </c>
      <c r="I163" s="23">
        <f t="shared" si="2"/>
        <v>0.1221335178139018</v>
      </c>
    </row>
    <row r="164" spans="1:9">
      <c r="A164" s="10">
        <v>44723</v>
      </c>
      <c r="B164" s="45">
        <v>-13.17182690086231</v>
      </c>
      <c r="C164" s="44">
        <v>13.760929782082323</v>
      </c>
      <c r="D164" s="42">
        <v>62</v>
      </c>
      <c r="E164" s="41">
        <v>0.41311312</v>
      </c>
      <c r="G164" s="39">
        <v>1524</v>
      </c>
      <c r="I164" s="23">
        <f t="shared" si="2"/>
        <v>0.11575786924939635</v>
      </c>
    </row>
    <row r="165" spans="1:9">
      <c r="A165" s="10">
        <v>44724</v>
      </c>
      <c r="B165" s="45">
        <v>-15.21253005219441</v>
      </c>
      <c r="C165" s="44">
        <v>13.984475959875473</v>
      </c>
      <c r="D165" s="42">
        <v>44</v>
      </c>
      <c r="E165" s="41">
        <v>0.40907686999999998</v>
      </c>
      <c r="G165" s="39">
        <v>1544</v>
      </c>
      <c r="I165" s="23">
        <f t="shared" si="2"/>
        <v>0.22354617779314978</v>
      </c>
    </row>
    <row r="166" spans="1:9">
      <c r="A166" s="10">
        <v>44725</v>
      </c>
      <c r="B166" s="45">
        <v>-22.069673949520912</v>
      </c>
      <c r="C166" s="44">
        <v>14.230735385679694</v>
      </c>
      <c r="D166" s="42">
        <v>33</v>
      </c>
      <c r="E166" s="41">
        <v>0.40496979</v>
      </c>
      <c r="G166" s="39">
        <v>957</v>
      </c>
      <c r="I166" s="23">
        <f t="shared" si="2"/>
        <v>0.24625942580422056</v>
      </c>
    </row>
    <row r="167" spans="1:9">
      <c r="A167" s="10">
        <v>44726</v>
      </c>
      <c r="B167" s="45">
        <v>-22.562221611615666</v>
      </c>
      <c r="C167" s="44">
        <v>14.485761328260113</v>
      </c>
      <c r="D167" s="42">
        <v>28</v>
      </c>
      <c r="E167" s="41">
        <v>0.40091885999999999</v>
      </c>
      <c r="G167" s="39">
        <v>1527</v>
      </c>
      <c r="I167" s="23">
        <f t="shared" si="2"/>
        <v>0.25502594258041889</v>
      </c>
    </row>
    <row r="168" spans="1:9">
      <c r="A168" s="10">
        <v>44727</v>
      </c>
      <c r="B168" s="45">
        <v>-22.429909471079462</v>
      </c>
      <c r="C168" s="44">
        <v>14.763500518851609</v>
      </c>
      <c r="D168" s="42">
        <v>39</v>
      </c>
      <c r="E168" s="41">
        <v>0.37450186000000002</v>
      </c>
      <c r="G168" s="39">
        <v>2013</v>
      </c>
      <c r="I168" s="23">
        <f t="shared" si="2"/>
        <v>0.27773919059149677</v>
      </c>
    </row>
    <row r="169" spans="1:9">
      <c r="A169" s="10">
        <v>44728</v>
      </c>
      <c r="B169" s="45">
        <v>-22.035452949471154</v>
      </c>
      <c r="C169" s="44">
        <v>15.050006226219299</v>
      </c>
      <c r="D169" s="42">
        <v>57</v>
      </c>
      <c r="E169" s="41">
        <v>0.36574423</v>
      </c>
      <c r="G169" s="39">
        <v>1815</v>
      </c>
      <c r="I169" s="23">
        <f t="shared" si="2"/>
        <v>0.28650570736768977</v>
      </c>
    </row>
    <row r="170" spans="1:9">
      <c r="A170" s="10">
        <v>44729</v>
      </c>
      <c r="B170" s="45">
        <v>-20.224684740605984</v>
      </c>
      <c r="C170" s="44">
        <v>15.359225181598061</v>
      </c>
      <c r="D170" s="42">
        <v>89</v>
      </c>
      <c r="E170" s="41">
        <v>0.35976457000000001</v>
      </c>
      <c r="G170" s="39">
        <v>1591</v>
      </c>
      <c r="I170" s="23">
        <f t="shared" si="2"/>
        <v>0.30921895537876232</v>
      </c>
    </row>
    <row r="171" spans="1:9">
      <c r="A171" s="10">
        <v>44730</v>
      </c>
      <c r="B171" s="45">
        <v>-12.829493727794395</v>
      </c>
      <c r="C171" s="44">
        <v>15.679999999999998</v>
      </c>
      <c r="D171" s="42">
        <v>84</v>
      </c>
      <c r="E171" s="41">
        <v>0.35096015000000003</v>
      </c>
      <c r="G171" s="39">
        <v>1681</v>
      </c>
      <c r="I171" s="23">
        <f t="shared" si="2"/>
        <v>0.32077481840193656</v>
      </c>
    </row>
    <row r="172" spans="1:9">
      <c r="A172" s="10">
        <v>44731</v>
      </c>
      <c r="B172" s="45">
        <v>-16.127279183454249</v>
      </c>
      <c r="C172" s="44">
        <v>15.961325492909026</v>
      </c>
      <c r="D172" s="42">
        <v>63</v>
      </c>
      <c r="E172" s="41">
        <v>0.34515240000000003</v>
      </c>
      <c r="G172" s="39">
        <v>1621</v>
      </c>
      <c r="I172" s="23">
        <f t="shared" si="2"/>
        <v>0.28132549290902809</v>
      </c>
    </row>
    <row r="173" spans="1:9">
      <c r="A173" s="10">
        <v>44732</v>
      </c>
      <c r="B173" s="45">
        <v>-21.239822220014965</v>
      </c>
      <c r="C173" s="44">
        <v>16.235279142165343</v>
      </c>
      <c r="D173" s="42">
        <v>29</v>
      </c>
      <c r="E173" s="41">
        <v>0.33634055000000002</v>
      </c>
      <c r="G173" s="39">
        <v>1076</v>
      </c>
      <c r="I173" s="23">
        <f t="shared" si="2"/>
        <v>0.27395364925631682</v>
      </c>
    </row>
    <row r="174" spans="1:9">
      <c r="A174" s="10">
        <v>44733</v>
      </c>
      <c r="B174" s="45">
        <v>-21.411176028229306</v>
      </c>
      <c r="C174" s="44">
        <v>16.529754410238674</v>
      </c>
      <c r="D174" s="42">
        <v>33</v>
      </c>
      <c r="E174" s="41">
        <v>0.32990541000000001</v>
      </c>
      <c r="G174" s="39">
        <v>1958</v>
      </c>
      <c r="I174" s="23">
        <f t="shared" si="2"/>
        <v>0.29447526807333091</v>
      </c>
    </row>
    <row r="175" spans="1:9">
      <c r="A175" s="10">
        <v>44734</v>
      </c>
      <c r="B175" s="45">
        <v>-23.908452163351125</v>
      </c>
      <c r="C175" s="44">
        <v>16.816857834659285</v>
      </c>
      <c r="D175" s="42">
        <v>40</v>
      </c>
      <c r="E175" s="41">
        <v>0.31172975000000003</v>
      </c>
      <c r="G175" s="39">
        <v>2325</v>
      </c>
      <c r="I175" s="23">
        <f t="shared" si="2"/>
        <v>0.28710342442061076</v>
      </c>
    </row>
    <row r="176" spans="1:9">
      <c r="A176" s="10">
        <v>44735</v>
      </c>
      <c r="B176" s="45">
        <v>-22.794478763230728</v>
      </c>
      <c r="C176" s="44">
        <v>17.12448287789692</v>
      </c>
      <c r="D176" s="42">
        <v>42</v>
      </c>
      <c r="E176" s="41">
        <v>0.30461818000000002</v>
      </c>
      <c r="G176" s="39">
        <v>2409</v>
      </c>
      <c r="I176" s="23">
        <f t="shared" si="2"/>
        <v>0.30762504323763551</v>
      </c>
    </row>
    <row r="177" spans="1:9">
      <c r="A177" s="10">
        <v>44736</v>
      </c>
      <c r="B177" s="45">
        <v>-20.694263616128218</v>
      </c>
      <c r="C177" s="44">
        <v>17.424736077481835</v>
      </c>
      <c r="D177" s="42">
        <v>87</v>
      </c>
      <c r="E177" s="41">
        <v>0.29449048999999999</v>
      </c>
      <c r="G177" s="39">
        <v>2181</v>
      </c>
      <c r="I177" s="23">
        <f t="shared" si="2"/>
        <v>0.30025319958491536</v>
      </c>
    </row>
    <row r="178" spans="1:9">
      <c r="A178" s="10">
        <v>44737</v>
      </c>
      <c r="B178" s="45">
        <v>-9.7361630586134336</v>
      </c>
      <c r="C178" s="44">
        <v>17.728774818401934</v>
      </c>
      <c r="D178" s="42">
        <v>97</v>
      </c>
      <c r="E178" s="41">
        <v>0.28733561000000002</v>
      </c>
      <c r="G178" s="39">
        <v>2159</v>
      </c>
      <c r="I178" s="23">
        <f t="shared" si="2"/>
        <v>0.30403874092009886</v>
      </c>
    </row>
    <row r="179" spans="1:9">
      <c r="A179" s="10">
        <v>44738</v>
      </c>
      <c r="B179" s="45">
        <v>-14.97088219709488</v>
      </c>
      <c r="C179" s="44">
        <v>17.964673815288823</v>
      </c>
      <c r="D179" s="42">
        <v>61</v>
      </c>
      <c r="E179" s="41">
        <v>0.27757357999999999</v>
      </c>
      <c r="G179" s="39">
        <v>2004</v>
      </c>
      <c r="I179" s="23">
        <f t="shared" si="2"/>
        <v>0.23589899688688831</v>
      </c>
    </row>
    <row r="180" spans="1:9">
      <c r="A180" s="10">
        <v>44739</v>
      </c>
      <c r="B180" s="45">
        <v>-21.386876693710033</v>
      </c>
      <c r="C180" s="44">
        <v>18.185430646834998</v>
      </c>
      <c r="D180" s="42">
        <v>33</v>
      </c>
      <c r="E180" s="41">
        <v>0.27038744999999997</v>
      </c>
      <c r="G180" s="39">
        <v>1514</v>
      </c>
      <c r="I180" s="23">
        <f t="shared" si="2"/>
        <v>0.22075683154617565</v>
      </c>
    </row>
    <row r="181" spans="1:9">
      <c r="A181" s="10">
        <v>44740</v>
      </c>
      <c r="B181" s="45">
        <v>-20.899953722450395</v>
      </c>
      <c r="C181" s="44">
        <v>18.377098581805601</v>
      </c>
      <c r="D181" s="42">
        <v>51</v>
      </c>
      <c r="E181" s="41">
        <v>0.26339916000000002</v>
      </c>
      <c r="G181" s="39">
        <v>2509</v>
      </c>
      <c r="I181" s="23">
        <f t="shared" si="2"/>
        <v>0.19166793497060297</v>
      </c>
    </row>
    <row r="182" spans="1:9">
      <c r="A182" s="10">
        <v>44741</v>
      </c>
      <c r="B182" s="45">
        <v>-23.029523843020058</v>
      </c>
      <c r="C182" s="44">
        <v>18.553624351435484</v>
      </c>
      <c r="D182" s="42">
        <v>45</v>
      </c>
      <c r="E182" s="41">
        <v>0.25981091000000001</v>
      </c>
      <c r="G182" s="39">
        <v>3802</v>
      </c>
      <c r="I182" s="23">
        <f t="shared" si="2"/>
        <v>0.1765257696298832</v>
      </c>
    </row>
    <row r="183" spans="1:9">
      <c r="A183" s="10">
        <v>44742</v>
      </c>
      <c r="B183" s="45">
        <v>-22.452677322965521</v>
      </c>
      <c r="C183" s="44">
        <v>18.701061224489795</v>
      </c>
      <c r="D183" s="42">
        <v>65</v>
      </c>
      <c r="E183" s="41">
        <v>0.25627322000000002</v>
      </c>
      <c r="G183" s="39">
        <v>3620</v>
      </c>
      <c r="I183" s="23">
        <f t="shared" si="2"/>
        <v>0.14743687305431052</v>
      </c>
    </row>
    <row r="184" spans="1:9">
      <c r="A184" s="10">
        <v>44743</v>
      </c>
      <c r="B184" s="45">
        <v>-20.885036134214843</v>
      </c>
      <c r="C184" s="44">
        <v>18.833355932203386</v>
      </c>
      <c r="D184" s="42">
        <v>80</v>
      </c>
      <c r="E184" s="41">
        <v>0.25225982000000002</v>
      </c>
      <c r="G184" s="39">
        <v>3545</v>
      </c>
      <c r="I184" s="23">
        <f t="shared" si="2"/>
        <v>0.13229470771359075</v>
      </c>
    </row>
    <row r="185" spans="1:9">
      <c r="A185" s="10">
        <v>44744</v>
      </c>
      <c r="B185" s="45">
        <v>-15.734369438842094</v>
      </c>
      <c r="C185" s="44">
        <v>18.950508474576271</v>
      </c>
      <c r="D185" s="42">
        <v>70</v>
      </c>
      <c r="E185" s="41">
        <v>0.24861734999999999</v>
      </c>
      <c r="G185" s="39">
        <v>3615</v>
      </c>
      <c r="I185" s="23">
        <f t="shared" si="2"/>
        <v>0.11715254237288519</v>
      </c>
    </row>
    <row r="186" spans="1:9">
      <c r="A186" s="10">
        <v>44745</v>
      </c>
      <c r="B186" s="45">
        <v>-19.236161990608146</v>
      </c>
      <c r="C186" s="44">
        <v>19.067860255966792</v>
      </c>
      <c r="D186" s="42">
        <v>45</v>
      </c>
      <c r="E186" s="41">
        <v>0.24544856000000001</v>
      </c>
      <c r="G186" s="39">
        <v>3788</v>
      </c>
      <c r="I186" s="23">
        <f t="shared" si="2"/>
        <v>0.11735178139052138</v>
      </c>
    </row>
    <row r="187" spans="1:9">
      <c r="A187" s="10">
        <v>44746</v>
      </c>
      <c r="B187" s="45">
        <v>-22.209023309247851</v>
      </c>
      <c r="C187" s="44">
        <v>19.185411276374957</v>
      </c>
      <c r="D187" s="42">
        <v>34</v>
      </c>
      <c r="E187" s="41">
        <v>0.24163638000000001</v>
      </c>
      <c r="G187" s="39">
        <v>2772</v>
      </c>
      <c r="I187" s="23">
        <f t="shared" si="2"/>
        <v>0.11755102040816467</v>
      </c>
    </row>
    <row r="188" spans="1:9">
      <c r="A188" s="10">
        <v>44747</v>
      </c>
      <c r="B188" s="45">
        <v>-23.515936831144792</v>
      </c>
      <c r="C188" s="44">
        <v>19.303161535800758</v>
      </c>
      <c r="D188" s="42">
        <v>40</v>
      </c>
      <c r="E188" s="41">
        <v>0.23843723</v>
      </c>
      <c r="G188" s="39">
        <v>5301</v>
      </c>
      <c r="I188" s="23">
        <f t="shared" si="2"/>
        <v>0.11775025942580086</v>
      </c>
    </row>
    <row r="189" spans="1:9">
      <c r="A189" s="10">
        <v>44748</v>
      </c>
      <c r="B189" s="45">
        <v>-26.475974508292882</v>
      </c>
      <c r="C189" s="44">
        <v>19.421111034244205</v>
      </c>
      <c r="D189" s="42">
        <v>40</v>
      </c>
      <c r="E189" s="41">
        <v>0.23598092000000001</v>
      </c>
      <c r="G189" s="39">
        <v>8338</v>
      </c>
      <c r="I189" s="23">
        <f t="shared" si="2"/>
        <v>0.11794949844344771</v>
      </c>
    </row>
    <row r="190" spans="1:9">
      <c r="A190" s="10">
        <v>44749</v>
      </c>
      <c r="B190" s="45">
        <v>-23.86541490086055</v>
      </c>
      <c r="C190" s="44">
        <v>19.539259771705286</v>
      </c>
      <c r="D190" s="42">
        <v>38</v>
      </c>
      <c r="E190" s="41">
        <v>0.23369038</v>
      </c>
      <c r="G190" s="39">
        <v>8523</v>
      </c>
      <c r="I190" s="23">
        <f t="shared" si="2"/>
        <v>0.11814873746108034</v>
      </c>
    </row>
    <row r="191" spans="1:9">
      <c r="A191" s="10">
        <v>44750</v>
      </c>
      <c r="B191" s="45">
        <v>-22.824676021807409</v>
      </c>
      <c r="C191" s="44">
        <v>19.657607748184013</v>
      </c>
      <c r="D191" s="42">
        <v>89</v>
      </c>
      <c r="E191" s="41">
        <v>0.23119936999999999</v>
      </c>
      <c r="G191" s="39">
        <v>8774</v>
      </c>
      <c r="I191" s="23">
        <f t="shared" si="2"/>
        <v>0.11834797647872719</v>
      </c>
    </row>
    <row r="192" spans="1:9">
      <c r="A192" s="10">
        <v>44751</v>
      </c>
      <c r="B192" s="45">
        <v>-15.294315989285112</v>
      </c>
      <c r="C192" s="44">
        <v>19.776154963680387</v>
      </c>
      <c r="D192" s="42">
        <v>70</v>
      </c>
      <c r="E192" s="41">
        <v>0.22945867</v>
      </c>
      <c r="G192" s="39">
        <v>9714</v>
      </c>
      <c r="I192" s="23">
        <f t="shared" si="2"/>
        <v>0.11854721549637404</v>
      </c>
    </row>
    <row r="193" spans="1:9">
      <c r="A193" s="10">
        <v>44752</v>
      </c>
      <c r="B193" s="45">
        <v>-21.619464870485487</v>
      </c>
      <c r="C193" s="44">
        <v>19.886134901418192</v>
      </c>
      <c r="D193" s="42">
        <v>35</v>
      </c>
      <c r="E193" s="41">
        <v>0.22830470999999999</v>
      </c>
      <c r="G193" s="39">
        <v>9481</v>
      </c>
      <c r="I193" s="23">
        <f t="shared" si="2"/>
        <v>0.10997993773780479</v>
      </c>
    </row>
    <row r="194" spans="1:9">
      <c r="A194" s="10">
        <v>44753</v>
      </c>
      <c r="B194" s="45">
        <v>-24.561128028684934</v>
      </c>
      <c r="C194" s="44">
        <v>19.987547561397438</v>
      </c>
      <c r="D194" s="42">
        <v>22</v>
      </c>
      <c r="E194" s="41">
        <v>0.22632853999999999</v>
      </c>
      <c r="G194" s="39">
        <v>6228</v>
      </c>
      <c r="I194" s="23">
        <f t="shared" si="2"/>
        <v>0.1014126599792462</v>
      </c>
    </row>
    <row r="195" spans="1:9">
      <c r="A195" s="10">
        <v>44754</v>
      </c>
      <c r="B195" s="45">
        <v>-25.555511366923124</v>
      </c>
      <c r="C195" s="44">
        <v>20.080392943618126</v>
      </c>
      <c r="D195" s="42">
        <v>29</v>
      </c>
      <c r="E195" s="41">
        <v>0.22539323</v>
      </c>
      <c r="G195" s="40">
        <v>11508</v>
      </c>
      <c r="I195" s="23">
        <f t="shared" si="2"/>
        <v>9.2845382220687611E-2</v>
      </c>
    </row>
    <row r="196" spans="1:9">
      <c r="A196" s="10">
        <v>44755</v>
      </c>
      <c r="B196" s="45">
        <v>-27.305140999394428</v>
      </c>
      <c r="C196" s="44">
        <v>20.164671048080244</v>
      </c>
      <c r="D196" s="42">
        <v>33</v>
      </c>
      <c r="E196" s="41">
        <v>0.22734734000000001</v>
      </c>
      <c r="G196" s="39">
        <v>16875</v>
      </c>
      <c r="I196" s="23">
        <f t="shared" si="2"/>
        <v>8.4278104462118364E-2</v>
      </c>
    </row>
    <row r="197" spans="1:9">
      <c r="A197" s="10">
        <v>44756</v>
      </c>
      <c r="B197" s="45">
        <v>-26.793180237523153</v>
      </c>
      <c r="C197" s="44">
        <v>20.240381874783804</v>
      </c>
      <c r="D197" s="42">
        <v>32</v>
      </c>
      <c r="E197" s="41">
        <v>0.22948621</v>
      </c>
      <c r="G197" s="39">
        <v>16657</v>
      </c>
      <c r="I197" s="23">
        <f t="shared" ref="I197:I220" si="3">C197-C196</f>
        <v>7.5710826703559775E-2</v>
      </c>
    </row>
    <row r="198" spans="1:9">
      <c r="A198" s="10">
        <v>44757</v>
      </c>
      <c r="B198" s="45">
        <v>-27.048543537711083</v>
      </c>
      <c r="C198" s="44">
        <v>20.307525423728812</v>
      </c>
      <c r="D198" s="42">
        <v>40</v>
      </c>
      <c r="E198" s="41">
        <v>0.23162477000000001</v>
      </c>
      <c r="G198" s="39">
        <v>19055</v>
      </c>
      <c r="I198" s="23">
        <f t="shared" si="3"/>
        <v>6.7143548945008291E-2</v>
      </c>
    </row>
    <row r="199" spans="1:9">
      <c r="A199" s="10">
        <v>44758</v>
      </c>
      <c r="B199" s="45">
        <v>-22.093133979806556</v>
      </c>
      <c r="C199" s="44">
        <v>20.366101694915251</v>
      </c>
      <c r="D199" s="42">
        <v>50</v>
      </c>
      <c r="E199" s="41">
        <v>0.23410452000000001</v>
      </c>
      <c r="G199" s="39">
        <v>18912</v>
      </c>
      <c r="I199" s="23">
        <f t="shared" si="3"/>
        <v>5.8576271186439044E-2</v>
      </c>
    </row>
    <row r="200" spans="1:9">
      <c r="A200" s="10">
        <v>44759</v>
      </c>
      <c r="B200" s="45">
        <v>-16.216327436237592</v>
      </c>
      <c r="C200" s="44">
        <v>20.426072639225179</v>
      </c>
      <c r="D200" s="42">
        <v>56</v>
      </c>
      <c r="E200" s="41">
        <v>0.23720525000000001</v>
      </c>
      <c r="G200" s="39">
        <v>17786</v>
      </c>
      <c r="I200" s="23">
        <f t="shared" si="3"/>
        <v>5.9970944309927887E-2</v>
      </c>
    </row>
    <row r="201" spans="1:9">
      <c r="A201" s="10">
        <v>44760</v>
      </c>
      <c r="B201" s="45">
        <v>-36.774062322321349</v>
      </c>
      <c r="C201" s="44">
        <v>20.477675544794185</v>
      </c>
      <c r="D201" s="42">
        <v>36</v>
      </c>
      <c r="E201" s="41">
        <v>0.24006241</v>
      </c>
      <c r="G201" s="39">
        <v>12690</v>
      </c>
      <c r="I201" s="23">
        <f t="shared" si="3"/>
        <v>5.1602905569005486E-2</v>
      </c>
    </row>
    <row r="202" spans="1:9">
      <c r="A202" s="10">
        <v>44761</v>
      </c>
      <c r="B202" s="45">
        <v>-28.108332851275524</v>
      </c>
      <c r="C202" s="44">
        <v>20.520910411622275</v>
      </c>
      <c r="D202" s="42">
        <v>28</v>
      </c>
      <c r="E202" s="41">
        <v>0.24106875999999999</v>
      </c>
      <c r="G202" s="39">
        <v>11004</v>
      </c>
      <c r="I202" s="23">
        <f t="shared" si="3"/>
        <v>4.323486682809019E-2</v>
      </c>
    </row>
    <row r="203" spans="1:9">
      <c r="A203" s="10">
        <v>44762</v>
      </c>
      <c r="B203" s="45">
        <v>-29.629495497233499</v>
      </c>
      <c r="C203" s="44">
        <v>20.555777239709442</v>
      </c>
      <c r="D203" s="42">
        <v>14</v>
      </c>
      <c r="E203" s="41">
        <v>0.24408629000000001</v>
      </c>
      <c r="G203" s="39">
        <v>20384</v>
      </c>
      <c r="I203" s="23">
        <f t="shared" si="3"/>
        <v>3.4866828087167789E-2</v>
      </c>
    </row>
    <row r="204" spans="1:9">
      <c r="A204" s="10">
        <v>44763</v>
      </c>
      <c r="B204" s="45">
        <v>-30.115612581935547</v>
      </c>
      <c r="C204" s="44">
        <v>20.582276029055691</v>
      </c>
      <c r="D204" s="42">
        <v>23</v>
      </c>
      <c r="E204" s="41">
        <v>0.25152580000000002</v>
      </c>
      <c r="G204" s="39">
        <v>31850</v>
      </c>
      <c r="I204" s="23">
        <f t="shared" si="3"/>
        <v>2.6498789346248941E-2</v>
      </c>
    </row>
    <row r="205" spans="1:9">
      <c r="A205" s="10">
        <v>44764</v>
      </c>
      <c r="B205" s="45">
        <v>-30.628683936394413</v>
      </c>
      <c r="C205" s="44">
        <v>20.600406779661018</v>
      </c>
      <c r="D205" s="42">
        <v>40</v>
      </c>
      <c r="E205" s="41">
        <v>0.25913206999999999</v>
      </c>
      <c r="G205" s="39">
        <v>34963</v>
      </c>
      <c r="I205" s="23">
        <f t="shared" si="3"/>
        <v>1.813075060532654E-2</v>
      </c>
    </row>
    <row r="206" spans="1:9">
      <c r="A206" s="10">
        <v>44765</v>
      </c>
      <c r="B206" s="45">
        <v>-25.820007368046404</v>
      </c>
      <c r="C206" s="44">
        <v>20.610169491525422</v>
      </c>
      <c r="D206" s="42">
        <v>50</v>
      </c>
      <c r="E206" s="41">
        <v>0.26655699999999999</v>
      </c>
      <c r="G206" s="39">
        <v>32679</v>
      </c>
      <c r="I206" s="23">
        <f t="shared" si="3"/>
        <v>9.7627118644041389E-3</v>
      </c>
    </row>
    <row r="207" spans="1:9">
      <c r="A207" s="10">
        <v>44766</v>
      </c>
      <c r="B207" s="45">
        <v>-28.742094793328722</v>
      </c>
      <c r="C207" s="44">
        <v>20.610169491525422</v>
      </c>
      <c r="D207" s="42">
        <v>26</v>
      </c>
      <c r="E207" s="41">
        <v>0.16316088000000001</v>
      </c>
      <c r="G207" s="39">
        <v>28094</v>
      </c>
      <c r="I207" s="23">
        <f t="shared" si="3"/>
        <v>0</v>
      </c>
    </row>
    <row r="208" spans="1:9">
      <c r="A208" s="10">
        <v>44767</v>
      </c>
      <c r="B208" s="45">
        <v>-29.364335401054838</v>
      </c>
      <c r="C208" s="44">
        <v>20.610169491525422</v>
      </c>
      <c r="D208" s="42">
        <v>16</v>
      </c>
      <c r="E208" s="41">
        <v>0.14686065000000001</v>
      </c>
      <c r="G208" s="39">
        <v>22375</v>
      </c>
      <c r="I208" s="23">
        <f t="shared" si="3"/>
        <v>0</v>
      </c>
    </row>
    <row r="209" spans="1:9">
      <c r="A209" s="10">
        <v>44768</v>
      </c>
      <c r="B209" s="45">
        <v>-30.609634407358133</v>
      </c>
      <c r="C209" s="44">
        <v>20.610169491525422</v>
      </c>
      <c r="D209" s="42">
        <v>16</v>
      </c>
      <c r="E209" s="41">
        <v>0.14486288</v>
      </c>
      <c r="G209" s="39">
        <v>31543</v>
      </c>
      <c r="I209" s="23">
        <f t="shared" si="3"/>
        <v>0</v>
      </c>
    </row>
    <row r="210" spans="1:9">
      <c r="A210" s="10">
        <v>44769</v>
      </c>
      <c r="B210" s="45">
        <v>-31.019065849630127</v>
      </c>
      <c r="C210" s="44">
        <v>20.610169491525422</v>
      </c>
      <c r="D210" s="42">
        <v>12</v>
      </c>
      <c r="E210" s="41">
        <v>0.14497318000000001</v>
      </c>
      <c r="G210" s="39">
        <v>29006</v>
      </c>
      <c r="I210" s="23">
        <f t="shared" si="3"/>
        <v>0</v>
      </c>
    </row>
    <row r="211" spans="1:9">
      <c r="A211" s="10">
        <v>44770</v>
      </c>
      <c r="B211" s="45">
        <v>-30.745550481403384</v>
      </c>
      <c r="C211" s="44">
        <v>20.610169491525422</v>
      </c>
      <c r="D211" s="42">
        <v>27</v>
      </c>
      <c r="E211" s="41">
        <v>0.13878655000000001</v>
      </c>
      <c r="G211" s="39">
        <v>40375</v>
      </c>
      <c r="I211" s="23">
        <f t="shared" si="3"/>
        <v>0</v>
      </c>
    </row>
    <row r="212" spans="1:9">
      <c r="A212" s="10">
        <v>44771</v>
      </c>
      <c r="B212" s="45">
        <v>-30.907099899863947</v>
      </c>
      <c r="C212" s="44">
        <v>20.610169491525422</v>
      </c>
      <c r="D212" s="42">
        <v>28</v>
      </c>
      <c r="E212" s="41">
        <v>0.13512585999999999</v>
      </c>
      <c r="G212" s="39">
        <v>36792</v>
      </c>
      <c r="I212" s="23">
        <f t="shared" si="3"/>
        <v>0</v>
      </c>
    </row>
    <row r="213" spans="1:9">
      <c r="A213" s="10">
        <v>44772</v>
      </c>
      <c r="B213" s="45">
        <v>-26.785463406410198</v>
      </c>
      <c r="C213" s="44">
        <v>20.610169491525422</v>
      </c>
      <c r="D213" s="42">
        <v>42</v>
      </c>
      <c r="E213" s="41">
        <v>0.17764076000000001</v>
      </c>
      <c r="G213" s="39">
        <v>33432</v>
      </c>
      <c r="I213" s="23">
        <f t="shared" si="3"/>
        <v>0</v>
      </c>
    </row>
    <row r="214" spans="1:9">
      <c r="A214" s="10">
        <v>44773</v>
      </c>
      <c r="B214" s="45">
        <v>-29.109318078746828</v>
      </c>
      <c r="C214" s="44">
        <v>20.610169491525422</v>
      </c>
      <c r="D214" s="42">
        <v>30</v>
      </c>
      <c r="E214" s="41">
        <v>0.19484261999999999</v>
      </c>
      <c r="G214" s="39">
        <v>31528</v>
      </c>
      <c r="I214" s="23">
        <f t="shared" si="3"/>
        <v>0</v>
      </c>
    </row>
    <row r="215" spans="1:9">
      <c r="A215" s="10">
        <v>44774</v>
      </c>
      <c r="B215" s="45">
        <v>-29.267455460972137</v>
      </c>
      <c r="C215" s="44">
        <v>20.610169491525422</v>
      </c>
      <c r="D215" s="42">
        <v>22</v>
      </c>
      <c r="E215" s="41">
        <v>0.20547990999999999</v>
      </c>
      <c r="G215" s="39">
        <v>21937</v>
      </c>
      <c r="I215" s="23">
        <f t="shared" si="3"/>
        <v>0</v>
      </c>
    </row>
    <row r="216" spans="1:9">
      <c r="A216" s="10">
        <v>44775</v>
      </c>
      <c r="B216" s="45">
        <v>-30.210743622375198</v>
      </c>
      <c r="C216" s="44">
        <v>20.610169491525422</v>
      </c>
      <c r="D216" s="42">
        <v>10</v>
      </c>
      <c r="E216" s="41">
        <v>0.20606572000000001</v>
      </c>
      <c r="G216" s="39">
        <v>30829</v>
      </c>
      <c r="I216" s="23">
        <f t="shared" si="3"/>
        <v>0</v>
      </c>
    </row>
    <row r="217" spans="1:9">
      <c r="A217" s="10">
        <v>44776</v>
      </c>
      <c r="B217" s="45">
        <v>-31.289082101446574</v>
      </c>
      <c r="C217" s="44">
        <v>20.610169491525422</v>
      </c>
      <c r="D217" s="42">
        <v>14</v>
      </c>
      <c r="E217" s="41">
        <v>0.20898797</v>
      </c>
      <c r="G217" s="39">
        <v>38926</v>
      </c>
      <c r="I217" s="23">
        <f t="shared" si="3"/>
        <v>0</v>
      </c>
    </row>
    <row r="218" spans="1:9">
      <c r="A218" s="10">
        <v>44777</v>
      </c>
      <c r="B218" s="45">
        <v>-32.729069353993893</v>
      </c>
      <c r="C218" s="44">
        <v>20.610169491525422</v>
      </c>
      <c r="D218" s="42">
        <v>18</v>
      </c>
      <c r="E218" s="41">
        <v>0.23846291999999999</v>
      </c>
      <c r="G218" s="39">
        <v>35322</v>
      </c>
      <c r="I218" s="23">
        <f t="shared" si="3"/>
        <v>0</v>
      </c>
    </row>
    <row r="219" spans="1:9">
      <c r="A219" s="10">
        <v>44778</v>
      </c>
      <c r="B219" s="45">
        <v>-31.373685754979636</v>
      </c>
      <c r="C219" s="44">
        <v>20.610169491525422</v>
      </c>
      <c r="D219" s="42">
        <v>22</v>
      </c>
      <c r="E219" s="41">
        <v>0.25197330000000001</v>
      </c>
      <c r="G219" s="39">
        <v>37758</v>
      </c>
      <c r="I219" s="23">
        <f t="shared" si="3"/>
        <v>0</v>
      </c>
    </row>
    <row r="220" spans="1:9">
      <c r="A220" s="10">
        <v>44779</v>
      </c>
      <c r="B220" s="45">
        <v>-25.90644922604292</v>
      </c>
      <c r="C220" s="44">
        <v>20.610169491525422</v>
      </c>
      <c r="D220" s="42">
        <v>35</v>
      </c>
      <c r="E220" s="41">
        <v>0.25857458999999999</v>
      </c>
      <c r="G220" s="39">
        <v>30966</v>
      </c>
      <c r="I220" s="23">
        <f t="shared" si="3"/>
        <v>0</v>
      </c>
    </row>
  </sheetData>
  <mergeCells count="1">
    <mergeCell ref="B1:E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0"/>
  <sheetViews>
    <sheetView tabSelected="1" zoomScaleNormal="100" workbookViewId="0">
      <selection activeCell="F3" sqref="F3:F158"/>
    </sheetView>
  </sheetViews>
  <sheetFormatPr defaultRowHeight="18.75"/>
  <sheetData>
    <row r="1" spans="1:9">
      <c r="A1" s="7" t="s">
        <v>0</v>
      </c>
      <c r="B1" s="46" t="s">
        <v>1</v>
      </c>
      <c r="C1" s="47"/>
      <c r="D1" s="47"/>
      <c r="E1" s="47"/>
      <c r="F1" s="47"/>
      <c r="G1" s="7" t="s">
        <v>2</v>
      </c>
      <c r="I1" t="s">
        <v>4</v>
      </c>
    </row>
    <row r="2" spans="1:9">
      <c r="B2" s="4">
        <v>4</v>
      </c>
      <c r="C2" s="4">
        <v>13</v>
      </c>
      <c r="D2" s="4">
        <v>14</v>
      </c>
      <c r="E2" s="4">
        <v>22</v>
      </c>
      <c r="F2" s="6">
        <v>17</v>
      </c>
    </row>
    <row r="3" spans="1:9">
      <c r="A3" s="10">
        <v>44780</v>
      </c>
      <c r="B3" s="29">
        <v>-27.996872492998961</v>
      </c>
      <c r="C3" s="31">
        <v>20.610169491525422</v>
      </c>
      <c r="D3" s="33">
        <v>29</v>
      </c>
      <c r="E3" s="34">
        <v>0.38283996999999997</v>
      </c>
      <c r="F3" s="36">
        <v>26309</v>
      </c>
    </row>
    <row r="4" spans="1:9">
      <c r="A4" s="10">
        <v>44781</v>
      </c>
      <c r="B4" s="29">
        <v>-28.465283714346956</v>
      </c>
      <c r="C4" s="31">
        <v>20.610169491525422</v>
      </c>
      <c r="D4" s="33">
        <v>15</v>
      </c>
      <c r="E4" s="34">
        <v>0.38736964000000002</v>
      </c>
      <c r="F4" s="36">
        <v>17864</v>
      </c>
      <c r="I4">
        <f>C4-C3</f>
        <v>0</v>
      </c>
    </row>
    <row r="5" spans="1:9">
      <c r="A5" s="10">
        <v>44782</v>
      </c>
      <c r="B5" s="29">
        <v>-28.469948516226069</v>
      </c>
      <c r="C5" s="31">
        <v>20.610169491525422</v>
      </c>
      <c r="D5" s="33">
        <v>26</v>
      </c>
      <c r="E5" s="34">
        <v>0.39433568000000002</v>
      </c>
      <c r="F5" s="36">
        <v>29108</v>
      </c>
      <c r="I5" s="23">
        <f t="shared" ref="I5:I68" si="0">C5-C4</f>
        <v>0</v>
      </c>
    </row>
    <row r="6" spans="1:9">
      <c r="A6" s="10">
        <v>44783</v>
      </c>
      <c r="B6" s="29">
        <v>-27.596608116714993</v>
      </c>
      <c r="C6" s="31">
        <v>20.610169491525422</v>
      </c>
      <c r="D6" s="33">
        <v>27</v>
      </c>
      <c r="E6" s="34">
        <v>0.40233010000000002</v>
      </c>
      <c r="F6" s="36">
        <v>34234</v>
      </c>
      <c r="I6" s="23">
        <f t="shared" si="0"/>
        <v>0</v>
      </c>
    </row>
    <row r="7" spans="1:9">
      <c r="A7" s="10">
        <v>44784</v>
      </c>
      <c r="B7" s="29">
        <v>-38.751260379777058</v>
      </c>
      <c r="C7" s="31">
        <v>20.610169491525422</v>
      </c>
      <c r="D7" s="33">
        <v>37</v>
      </c>
      <c r="E7" s="34">
        <v>0.41045744000000001</v>
      </c>
      <c r="F7" s="36">
        <v>31239</v>
      </c>
      <c r="I7" s="23">
        <f t="shared" si="0"/>
        <v>0</v>
      </c>
    </row>
    <row r="8" spans="1:9">
      <c r="A8" s="10">
        <v>44785</v>
      </c>
      <c r="B8" s="29">
        <v>-38.05069135518108</v>
      </c>
      <c r="C8" s="31">
        <v>20.610169491525422</v>
      </c>
      <c r="D8" s="33">
        <v>37</v>
      </c>
      <c r="E8" s="34">
        <v>0.41512891000000002</v>
      </c>
      <c r="F8" s="36">
        <v>20399</v>
      </c>
      <c r="I8" s="23">
        <f t="shared" si="0"/>
        <v>0</v>
      </c>
    </row>
    <row r="9" spans="1:9">
      <c r="A9" s="10">
        <v>44786</v>
      </c>
      <c r="B9" s="29">
        <v>-46.649177963297142</v>
      </c>
      <c r="C9" s="31">
        <v>20.610169491525422</v>
      </c>
      <c r="D9" s="33">
        <v>32</v>
      </c>
      <c r="E9" s="34">
        <v>0.42084017000000001</v>
      </c>
      <c r="F9" s="36">
        <v>23768</v>
      </c>
      <c r="I9" s="23">
        <f t="shared" si="0"/>
        <v>0</v>
      </c>
    </row>
    <row r="10" spans="1:9">
      <c r="A10" s="10">
        <v>44787</v>
      </c>
      <c r="B10" s="29">
        <v>-30.293969536927872</v>
      </c>
      <c r="C10" s="31">
        <v>20.610169491525422</v>
      </c>
      <c r="D10" s="33">
        <v>40</v>
      </c>
      <c r="E10" s="34">
        <v>0.42626592000000002</v>
      </c>
      <c r="F10" s="36">
        <v>22739</v>
      </c>
      <c r="I10" s="23">
        <f t="shared" si="0"/>
        <v>0</v>
      </c>
    </row>
    <row r="11" spans="1:9">
      <c r="A11" s="10">
        <v>44788</v>
      </c>
      <c r="B11" s="29">
        <v>-34.579163838110809</v>
      </c>
      <c r="C11" s="31">
        <v>20.610169491525422</v>
      </c>
      <c r="D11" s="33">
        <v>29</v>
      </c>
      <c r="E11" s="34">
        <v>0.43167359999999999</v>
      </c>
      <c r="F11" s="36">
        <v>23124</v>
      </c>
      <c r="I11" s="23">
        <f t="shared" si="0"/>
        <v>0</v>
      </c>
    </row>
    <row r="12" spans="1:9">
      <c r="A12" s="10">
        <v>44789</v>
      </c>
      <c r="B12" s="29">
        <v>-33.530145485046567</v>
      </c>
      <c r="C12" s="31">
        <v>20.610169491525422</v>
      </c>
      <c r="D12" s="33">
        <v>14</v>
      </c>
      <c r="E12" s="34">
        <v>0.43684556000000002</v>
      </c>
      <c r="F12" s="36">
        <v>23494</v>
      </c>
      <c r="I12" s="23">
        <f t="shared" si="0"/>
        <v>0</v>
      </c>
    </row>
    <row r="13" spans="1:9">
      <c r="A13" s="10">
        <v>44790</v>
      </c>
      <c r="B13" s="29">
        <v>-34.373793171172686</v>
      </c>
      <c r="C13" s="31">
        <v>20.610169491525422</v>
      </c>
      <c r="D13" s="33">
        <v>23</v>
      </c>
      <c r="E13" s="34">
        <v>0.44321790999999999</v>
      </c>
      <c r="F13" s="36">
        <v>29413</v>
      </c>
      <c r="I13" s="23">
        <f t="shared" si="0"/>
        <v>0</v>
      </c>
    </row>
    <row r="14" spans="1:9">
      <c r="A14" s="10">
        <v>44791</v>
      </c>
      <c r="B14" s="29">
        <v>-32.30718752747984</v>
      </c>
      <c r="C14" s="31">
        <v>20.610169491525422</v>
      </c>
      <c r="D14" s="33">
        <v>28</v>
      </c>
      <c r="E14" s="34">
        <v>0.44891072999999998</v>
      </c>
      <c r="F14" s="36">
        <v>27453</v>
      </c>
      <c r="I14" s="23">
        <f t="shared" si="0"/>
        <v>0</v>
      </c>
    </row>
    <row r="15" spans="1:9">
      <c r="A15" s="10">
        <v>44792</v>
      </c>
      <c r="B15" s="29">
        <v>-30.888068194017993</v>
      </c>
      <c r="C15" s="31">
        <v>20.610169491525422</v>
      </c>
      <c r="D15" s="33">
        <v>39</v>
      </c>
      <c r="E15" s="34">
        <v>0.45420266999999998</v>
      </c>
      <c r="F15" s="36">
        <v>27671</v>
      </c>
      <c r="I15" s="23">
        <f t="shared" si="0"/>
        <v>0</v>
      </c>
    </row>
    <row r="16" spans="1:9">
      <c r="A16" s="10">
        <v>44793</v>
      </c>
      <c r="B16" s="29">
        <v>-25.50069933999788</v>
      </c>
      <c r="C16" s="31">
        <v>20.610169491525422</v>
      </c>
      <c r="D16" s="33">
        <v>44</v>
      </c>
      <c r="E16" s="34">
        <v>0.45916625999999999</v>
      </c>
      <c r="F16" s="36">
        <v>25271</v>
      </c>
      <c r="I16" s="23">
        <f t="shared" si="0"/>
        <v>0</v>
      </c>
    </row>
    <row r="17" spans="1:9">
      <c r="A17" s="10">
        <v>44794</v>
      </c>
      <c r="B17" s="29">
        <v>-26.332404103431728</v>
      </c>
      <c r="C17" s="31">
        <v>20.610169491525422</v>
      </c>
      <c r="D17" s="33">
        <v>33</v>
      </c>
      <c r="E17" s="34">
        <v>0.46472966999999998</v>
      </c>
      <c r="F17" s="36">
        <v>24780</v>
      </c>
      <c r="G17" s="1" t="s">
        <v>3</v>
      </c>
      <c r="I17" s="23">
        <f t="shared" si="0"/>
        <v>0</v>
      </c>
    </row>
    <row r="18" spans="1:9">
      <c r="A18" s="10">
        <v>44795</v>
      </c>
      <c r="B18" s="29">
        <v>-29.098417676334819</v>
      </c>
      <c r="C18" s="31">
        <v>20.610169491525422</v>
      </c>
      <c r="D18" s="33">
        <v>20</v>
      </c>
      <c r="E18" s="34">
        <v>0.46782980000000002</v>
      </c>
      <c r="F18" s="36">
        <v>15083</v>
      </c>
      <c r="G18" s="1" t="s">
        <v>3</v>
      </c>
      <c r="I18" s="23">
        <f t="shared" si="0"/>
        <v>0</v>
      </c>
    </row>
    <row r="19" spans="1:9">
      <c r="A19" s="10">
        <v>44796</v>
      </c>
      <c r="B19" s="29">
        <v>-27.932912014808814</v>
      </c>
      <c r="C19" s="31">
        <v>20.610169491525422</v>
      </c>
      <c r="D19" s="33">
        <v>24</v>
      </c>
      <c r="E19" s="34">
        <v>0.47233154999999999</v>
      </c>
      <c r="F19" s="36">
        <v>21768</v>
      </c>
      <c r="G19" s="1" t="s">
        <v>3</v>
      </c>
      <c r="I19" s="23">
        <f t="shared" si="0"/>
        <v>0</v>
      </c>
    </row>
    <row r="20" spans="1:9">
      <c r="A20" s="10">
        <v>44797</v>
      </c>
      <c r="B20" s="29">
        <v>-29.528195874260319</v>
      </c>
      <c r="C20" s="31">
        <v>20.610169491525422</v>
      </c>
      <c r="D20" s="33">
        <v>26</v>
      </c>
      <c r="E20" s="34">
        <v>0.47778971999999997</v>
      </c>
      <c r="F20" s="36">
        <v>25442</v>
      </c>
      <c r="G20" s="1" t="s">
        <v>3</v>
      </c>
      <c r="I20" s="23">
        <f t="shared" si="0"/>
        <v>0</v>
      </c>
    </row>
    <row r="21" spans="1:9">
      <c r="A21" s="10">
        <v>44798</v>
      </c>
      <c r="B21" s="29">
        <v>-27.850317801654366</v>
      </c>
      <c r="C21" s="31">
        <v>20.610169491525422</v>
      </c>
      <c r="D21" s="33">
        <v>22</v>
      </c>
      <c r="E21" s="34">
        <v>0.48274060000000002</v>
      </c>
      <c r="F21" s="36">
        <v>23129</v>
      </c>
      <c r="G21" s="1" t="s">
        <v>3</v>
      </c>
      <c r="I21" s="23">
        <f t="shared" si="0"/>
        <v>0</v>
      </c>
    </row>
    <row r="22" spans="1:9">
      <c r="A22" s="10">
        <v>44799</v>
      </c>
      <c r="B22" s="29">
        <v>-28.322203852017264</v>
      </c>
      <c r="C22" s="31">
        <v>20.610169491525422</v>
      </c>
      <c r="D22" s="33">
        <v>46</v>
      </c>
      <c r="E22" s="34">
        <v>0.48615564999999999</v>
      </c>
      <c r="F22" s="36">
        <v>18419</v>
      </c>
      <c r="G22" s="1" t="s">
        <v>3</v>
      </c>
      <c r="I22" s="23">
        <f t="shared" si="0"/>
        <v>0</v>
      </c>
    </row>
    <row r="23" spans="1:9">
      <c r="A23" s="10">
        <v>44800</v>
      </c>
      <c r="B23" s="29">
        <v>-19.490785258911902</v>
      </c>
      <c r="C23" s="31">
        <v>20.610169491525422</v>
      </c>
      <c r="D23" s="33">
        <v>53</v>
      </c>
      <c r="E23" s="34">
        <v>0.48940774999999997</v>
      </c>
      <c r="F23" s="36">
        <v>17126</v>
      </c>
      <c r="G23" s="1" t="s">
        <v>3</v>
      </c>
      <c r="I23" s="23">
        <f t="shared" si="0"/>
        <v>0</v>
      </c>
    </row>
    <row r="24" spans="1:9">
      <c r="A24" s="10">
        <v>44801</v>
      </c>
      <c r="B24" s="29">
        <v>-22.822698098423139</v>
      </c>
      <c r="C24" s="31">
        <v>20.610169491525422</v>
      </c>
      <c r="D24" s="33">
        <v>31</v>
      </c>
      <c r="E24" s="34">
        <v>0.49291136000000002</v>
      </c>
      <c r="F24" s="36">
        <v>15834</v>
      </c>
      <c r="G24" s="1" t="s">
        <v>3</v>
      </c>
      <c r="I24" s="23">
        <f t="shared" si="0"/>
        <v>0</v>
      </c>
    </row>
    <row r="25" spans="1:9">
      <c r="A25" s="10">
        <v>44802</v>
      </c>
      <c r="B25" s="29">
        <v>-24.738893406869092</v>
      </c>
      <c r="C25" s="31">
        <v>20.610169491525422</v>
      </c>
      <c r="D25" s="33">
        <v>19</v>
      </c>
      <c r="E25" s="34">
        <v>0.49481631999999998</v>
      </c>
      <c r="F25" s="36">
        <v>9879</v>
      </c>
      <c r="G25" s="1" t="s">
        <v>3</v>
      </c>
      <c r="I25" s="23">
        <f t="shared" si="0"/>
        <v>0</v>
      </c>
    </row>
    <row r="26" spans="1:9">
      <c r="A26" s="10">
        <v>44803</v>
      </c>
      <c r="B26" s="29">
        <v>-25.719001272632614</v>
      </c>
      <c r="C26" s="31">
        <v>20.610169491525422</v>
      </c>
      <c r="D26" s="33">
        <v>22</v>
      </c>
      <c r="E26" s="34">
        <v>0.49764962000000001</v>
      </c>
      <c r="F26" s="36">
        <v>14218</v>
      </c>
      <c r="G26" s="12" t="s">
        <v>3</v>
      </c>
      <c r="I26" s="23">
        <f t="shared" si="0"/>
        <v>0</v>
      </c>
    </row>
    <row r="27" spans="1:9">
      <c r="A27" s="10">
        <v>44804</v>
      </c>
      <c r="B27" s="29">
        <v>-26.50376312951413</v>
      </c>
      <c r="C27" s="31">
        <v>20.610169491525422</v>
      </c>
      <c r="D27" s="33">
        <v>23</v>
      </c>
      <c r="E27" s="34">
        <v>0.50078511999999997</v>
      </c>
      <c r="F27" s="36">
        <v>15428</v>
      </c>
      <c r="G27" s="1" t="s">
        <v>3</v>
      </c>
      <c r="I27" s="23">
        <f t="shared" si="0"/>
        <v>0</v>
      </c>
    </row>
    <row r="28" spans="1:9">
      <c r="A28" s="10">
        <v>44805</v>
      </c>
      <c r="B28" s="29">
        <v>-28.363124233388447</v>
      </c>
      <c r="C28" s="31">
        <v>20.610169491525422</v>
      </c>
      <c r="D28" s="33">
        <v>25</v>
      </c>
      <c r="E28" s="34">
        <v>0.50388378</v>
      </c>
      <c r="F28" s="36">
        <v>14451</v>
      </c>
      <c r="G28" s="1" t="s">
        <v>3</v>
      </c>
      <c r="I28" s="23">
        <f t="shared" si="0"/>
        <v>0</v>
      </c>
    </row>
    <row r="29" spans="1:9">
      <c r="A29" s="10">
        <v>44806</v>
      </c>
      <c r="B29" s="29">
        <v>-29.107643978921327</v>
      </c>
      <c r="C29" s="31">
        <v>20.610169491525422</v>
      </c>
      <c r="D29" s="33">
        <v>27</v>
      </c>
      <c r="E29" s="34">
        <v>0.50613847999999995</v>
      </c>
      <c r="F29" s="37">
        <v>12412</v>
      </c>
      <c r="G29" s="1" t="s">
        <v>3</v>
      </c>
      <c r="I29" s="23">
        <f t="shared" si="0"/>
        <v>0</v>
      </c>
    </row>
    <row r="30" spans="1:9">
      <c r="A30" s="10">
        <v>44807</v>
      </c>
      <c r="B30" s="29">
        <v>-21.107774849985326</v>
      </c>
      <c r="C30" s="31">
        <v>20.610169491525422</v>
      </c>
      <c r="D30" s="33">
        <v>35</v>
      </c>
      <c r="E30" s="34">
        <v>0.50832087999999997</v>
      </c>
      <c r="F30" s="37">
        <v>12561</v>
      </c>
      <c r="G30" s="1" t="s">
        <v>3</v>
      </c>
      <c r="I30" s="23">
        <f t="shared" si="0"/>
        <v>0</v>
      </c>
    </row>
    <row r="31" spans="1:9">
      <c r="A31" s="10">
        <v>44808</v>
      </c>
      <c r="B31" s="29">
        <v>-24.392009160218553</v>
      </c>
      <c r="C31" s="31">
        <v>20.611010722933237</v>
      </c>
      <c r="D31" s="33">
        <v>30</v>
      </c>
      <c r="E31" s="34">
        <v>0.51015129999999997</v>
      </c>
      <c r="F31" s="37">
        <v>9635</v>
      </c>
      <c r="G31" s="1" t="s">
        <v>3</v>
      </c>
      <c r="I31" s="23">
        <f t="shared" si="0"/>
        <v>8.4123140781500183E-4</v>
      </c>
    </row>
    <row r="32" spans="1:9">
      <c r="A32" s="10">
        <v>44809</v>
      </c>
      <c r="B32" s="29">
        <v>-25.850657363076291</v>
      </c>
      <c r="C32" s="31">
        <v>20.612693185748871</v>
      </c>
      <c r="D32" s="33">
        <v>27</v>
      </c>
      <c r="E32" s="34">
        <v>0.51112500000000005</v>
      </c>
      <c r="F32" s="37">
        <v>7296</v>
      </c>
      <c r="G32" s="1" t="s">
        <v>3</v>
      </c>
      <c r="I32" s="23">
        <f t="shared" si="0"/>
        <v>1.6824628156335564E-3</v>
      </c>
    </row>
    <row r="33" spans="1:9">
      <c r="A33" s="10">
        <v>44810</v>
      </c>
      <c r="B33" s="29">
        <v>-26.006247469196509</v>
      </c>
      <c r="C33" s="31">
        <v>20.615216879972326</v>
      </c>
      <c r="D33" s="33">
        <v>26</v>
      </c>
      <c r="E33" s="34">
        <v>0.51249871999999996</v>
      </c>
      <c r="F33" s="37">
        <v>9485</v>
      </c>
      <c r="G33" s="1" t="s">
        <v>3</v>
      </c>
      <c r="I33" s="23">
        <f t="shared" si="0"/>
        <v>2.5236942234556636E-3</v>
      </c>
    </row>
    <row r="34" spans="1:9">
      <c r="A34" s="10">
        <v>44811</v>
      </c>
      <c r="B34" s="29">
        <v>-28.129397470956885</v>
      </c>
      <c r="C34" s="31">
        <v>20.61858180560359</v>
      </c>
      <c r="D34" s="33">
        <v>29</v>
      </c>
      <c r="E34" s="34">
        <v>0.51456318999999995</v>
      </c>
      <c r="F34" s="37">
        <v>13568</v>
      </c>
      <c r="G34" s="1" t="s">
        <v>3</v>
      </c>
      <c r="I34" s="23">
        <f t="shared" si="0"/>
        <v>3.36492563126356E-3</v>
      </c>
    </row>
    <row r="35" spans="1:9">
      <c r="A35" s="10">
        <v>44812</v>
      </c>
      <c r="B35" s="29">
        <v>-27.450193927306891</v>
      </c>
      <c r="C35" s="31">
        <v>20.622787962642683</v>
      </c>
      <c r="D35" s="33">
        <v>38</v>
      </c>
      <c r="E35" s="34">
        <v>0.51590714000000004</v>
      </c>
      <c r="F35" s="37">
        <v>10640</v>
      </c>
      <c r="G35" s="1" t="s">
        <v>3</v>
      </c>
      <c r="I35" s="23">
        <f t="shared" si="0"/>
        <v>4.2061570390927727E-3</v>
      </c>
    </row>
    <row r="36" spans="1:9">
      <c r="A36" s="10">
        <v>44813</v>
      </c>
      <c r="B36" s="29">
        <v>-26.185089683253853</v>
      </c>
      <c r="C36" s="31">
        <v>20.627835351089583</v>
      </c>
      <c r="D36" s="33">
        <v>40</v>
      </c>
      <c r="E36" s="34">
        <v>0.51666509000000005</v>
      </c>
      <c r="F36" s="37">
        <v>9240</v>
      </c>
      <c r="G36" s="1" t="s">
        <v>3</v>
      </c>
      <c r="I36" s="23">
        <f t="shared" si="0"/>
        <v>5.0473884469006691E-3</v>
      </c>
    </row>
    <row r="37" spans="1:9">
      <c r="A37" s="10">
        <v>44814</v>
      </c>
      <c r="B37" s="29">
        <v>-19.034223951146107</v>
      </c>
      <c r="C37" s="31">
        <v>20.63372397094431</v>
      </c>
      <c r="D37" s="33">
        <v>47</v>
      </c>
      <c r="E37" s="34">
        <v>0.51763724</v>
      </c>
      <c r="F37" s="37">
        <v>9988</v>
      </c>
      <c r="G37" s="1" t="s">
        <v>3</v>
      </c>
      <c r="I37" s="23">
        <f t="shared" si="0"/>
        <v>5.8886198547263291E-3</v>
      </c>
    </row>
    <row r="38" spans="1:9">
      <c r="A38" s="10">
        <v>44815</v>
      </c>
      <c r="B38" s="29">
        <v>-21.27349607513144</v>
      </c>
      <c r="C38" s="31">
        <v>20.643608439986163</v>
      </c>
      <c r="D38" s="33">
        <v>29</v>
      </c>
      <c r="E38" s="34">
        <v>0.51838348999999995</v>
      </c>
      <c r="F38" s="37">
        <v>7750</v>
      </c>
      <c r="G38" s="1" t="s">
        <v>3</v>
      </c>
      <c r="I38" s="23">
        <f t="shared" si="0"/>
        <v>9.884469041853805E-3</v>
      </c>
    </row>
    <row r="39" spans="1:9">
      <c r="A39" s="10">
        <v>44816</v>
      </c>
      <c r="B39" s="29">
        <v>-25.06060930288438</v>
      </c>
      <c r="C39" s="31">
        <v>20.657488758215152</v>
      </c>
      <c r="D39" s="33">
        <v>29</v>
      </c>
      <c r="E39" s="34">
        <v>0.51848198999999995</v>
      </c>
      <c r="F39" s="37">
        <v>5654</v>
      </c>
      <c r="G39" s="1" t="s">
        <v>3</v>
      </c>
      <c r="I39" s="23">
        <f t="shared" si="0"/>
        <v>1.3880318228988386E-2</v>
      </c>
    </row>
    <row r="40" spans="1:9">
      <c r="A40" s="10">
        <v>44817</v>
      </c>
      <c r="B40" s="29">
        <v>-24.232624226297219</v>
      </c>
      <c r="C40" s="31">
        <v>20.675364925631268</v>
      </c>
      <c r="D40" s="33">
        <v>22</v>
      </c>
      <c r="E40" s="34">
        <v>0.51925469000000002</v>
      </c>
      <c r="F40" s="37">
        <v>8855</v>
      </c>
      <c r="G40" s="1" t="s">
        <v>3</v>
      </c>
      <c r="I40" s="23">
        <f t="shared" si="0"/>
        <v>1.7876167416115862E-2</v>
      </c>
    </row>
    <row r="41" spans="1:9">
      <c r="A41" s="10">
        <v>44818</v>
      </c>
      <c r="B41" s="29">
        <v>-25.141598347169026</v>
      </c>
      <c r="C41" s="31">
        <v>20.697236942234522</v>
      </c>
      <c r="D41" s="33">
        <v>22</v>
      </c>
      <c r="E41" s="34">
        <v>0.51945076999999995</v>
      </c>
      <c r="F41" s="37">
        <v>10592</v>
      </c>
      <c r="G41" s="1" t="s">
        <v>3</v>
      </c>
      <c r="I41" s="23">
        <f t="shared" si="0"/>
        <v>2.1872016603253996E-2</v>
      </c>
    </row>
    <row r="42" spans="1:9">
      <c r="A42" s="10">
        <v>44819</v>
      </c>
      <c r="B42" s="29">
        <v>-23.554269233456225</v>
      </c>
      <c r="C42" s="31">
        <v>20.723104808024907</v>
      </c>
      <c r="D42" s="33">
        <v>38</v>
      </c>
      <c r="E42" s="34">
        <v>0.51922573999999999</v>
      </c>
      <c r="F42" s="37">
        <v>8825</v>
      </c>
      <c r="G42" s="1" t="s">
        <v>3</v>
      </c>
      <c r="I42" s="23">
        <f t="shared" si="0"/>
        <v>2.5867865790385025E-2</v>
      </c>
    </row>
    <row r="43" spans="1:9">
      <c r="A43" s="10">
        <v>44820</v>
      </c>
      <c r="B43" s="29">
        <v>-22.293024505679906</v>
      </c>
      <c r="C43" s="31">
        <v>20.752968523002419</v>
      </c>
      <c r="D43" s="33">
        <v>60</v>
      </c>
      <c r="E43" s="34">
        <v>0.51875705999999999</v>
      </c>
      <c r="F43" s="36">
        <v>8636</v>
      </c>
      <c r="G43" s="1" t="s">
        <v>3</v>
      </c>
      <c r="I43" s="23">
        <f t="shared" si="0"/>
        <v>2.9863714977512501E-2</v>
      </c>
    </row>
    <row r="44" spans="1:9">
      <c r="A44" s="10">
        <v>44821</v>
      </c>
      <c r="B44" s="29">
        <v>-15.763287459959663</v>
      </c>
      <c r="C44" s="31">
        <v>20.78682808716707</v>
      </c>
      <c r="D44" s="33">
        <v>58</v>
      </c>
      <c r="E44" s="34">
        <v>0.51815040999999995</v>
      </c>
      <c r="F44" s="36">
        <v>8018</v>
      </c>
      <c r="G44" s="1" t="s">
        <v>3</v>
      </c>
      <c r="I44" s="23">
        <f t="shared" si="0"/>
        <v>3.3859564164650635E-2</v>
      </c>
    </row>
    <row r="45" spans="1:9">
      <c r="A45" s="10">
        <v>44822</v>
      </c>
      <c r="B45" s="29">
        <v>-20.127832394133762</v>
      </c>
      <c r="C45" s="31">
        <v>20.818584572812174</v>
      </c>
      <c r="D45" s="33">
        <v>34</v>
      </c>
      <c r="E45" s="34">
        <v>0.51775543000000002</v>
      </c>
      <c r="F45" s="36">
        <v>8077</v>
      </c>
      <c r="G45" s="1" t="s">
        <v>3</v>
      </c>
      <c r="I45" s="23">
        <f t="shared" si="0"/>
        <v>3.1756485645104249E-2</v>
      </c>
    </row>
    <row r="46" spans="1:9">
      <c r="A46" s="10">
        <v>44823</v>
      </c>
      <c r="B46" s="29">
        <v>-39.136610940312387</v>
      </c>
      <c r="C46" s="31">
        <v>20.848237979937739</v>
      </c>
      <c r="D46" s="33">
        <v>17</v>
      </c>
      <c r="E46" s="34">
        <v>0.51653194000000002</v>
      </c>
      <c r="F46" s="36">
        <v>4066</v>
      </c>
      <c r="G46" s="1" t="s">
        <v>3</v>
      </c>
      <c r="I46" s="23">
        <f t="shared" si="0"/>
        <v>2.9653407125564968E-2</v>
      </c>
    </row>
    <row r="47" spans="1:9">
      <c r="A47" s="10">
        <v>44824</v>
      </c>
      <c r="B47" s="29">
        <v>-28.496232718227571</v>
      </c>
      <c r="C47" s="31">
        <v>20.875788308543754</v>
      </c>
      <c r="D47" s="33">
        <v>19</v>
      </c>
      <c r="E47" s="34">
        <v>0.51502658999999995</v>
      </c>
      <c r="F47" s="36">
        <v>3793</v>
      </c>
      <c r="G47" s="1" t="s">
        <v>3</v>
      </c>
      <c r="I47" s="23">
        <f t="shared" si="0"/>
        <v>2.7550328606015029E-2</v>
      </c>
    </row>
    <row r="48" spans="1:9">
      <c r="A48" s="10">
        <v>44825</v>
      </c>
      <c r="B48" s="29">
        <v>-22.745439166424937</v>
      </c>
      <c r="C48" s="31">
        <v>20.90123555863023</v>
      </c>
      <c r="D48" s="33">
        <v>29</v>
      </c>
      <c r="E48" s="34">
        <v>0.51468592999999996</v>
      </c>
      <c r="F48" s="36">
        <v>7059</v>
      </c>
      <c r="G48" s="1" t="s">
        <v>3</v>
      </c>
      <c r="I48" s="23">
        <f t="shared" si="0"/>
        <v>2.5447250086475748E-2</v>
      </c>
    </row>
    <row r="49" spans="1:9">
      <c r="A49" s="10">
        <v>44826</v>
      </c>
      <c r="B49" s="29">
        <v>-19.2505741005989</v>
      </c>
      <c r="C49" s="31">
        <v>20.924579730197159</v>
      </c>
      <c r="D49" s="33">
        <v>52</v>
      </c>
      <c r="E49" s="34">
        <v>0.51466221999999995</v>
      </c>
      <c r="F49" s="36">
        <v>8850</v>
      </c>
      <c r="G49" s="1" t="s">
        <v>3</v>
      </c>
      <c r="I49" s="23">
        <f t="shared" si="0"/>
        <v>2.3344171566929361E-2</v>
      </c>
    </row>
    <row r="50" spans="1:9">
      <c r="A50" s="10">
        <v>44827</v>
      </c>
      <c r="B50" s="29">
        <v>-32.076817820703759</v>
      </c>
      <c r="C50" s="31">
        <v>20.945820823244553</v>
      </c>
      <c r="D50" s="33">
        <v>46</v>
      </c>
      <c r="E50" s="34">
        <v>0.51450830000000003</v>
      </c>
      <c r="F50" s="36">
        <v>7559</v>
      </c>
      <c r="G50" s="1" t="s">
        <v>3</v>
      </c>
      <c r="I50" s="23">
        <f t="shared" si="0"/>
        <v>2.1241093047393633E-2</v>
      </c>
    </row>
    <row r="51" spans="1:9">
      <c r="A51" s="10">
        <v>44828</v>
      </c>
      <c r="B51" s="29">
        <v>-24.359042403731479</v>
      </c>
      <c r="C51" s="31">
        <v>20.964958837772397</v>
      </c>
      <c r="D51" s="33">
        <v>40</v>
      </c>
      <c r="E51" s="34">
        <v>0.51355461999999996</v>
      </c>
      <c r="F51" s="36">
        <v>4855</v>
      </c>
      <c r="G51" s="1" t="s">
        <v>3</v>
      </c>
      <c r="I51" s="23">
        <f t="shared" si="0"/>
        <v>1.9138014527843694E-2</v>
      </c>
    </row>
    <row r="52" spans="1:9">
      <c r="A52" s="10">
        <v>44829</v>
      </c>
      <c r="B52" s="29">
        <v>-16.63042938736584</v>
      </c>
      <c r="C52" s="31">
        <v>20.995032860601867</v>
      </c>
      <c r="D52" s="33">
        <v>37</v>
      </c>
      <c r="E52" s="34">
        <v>0.51289098</v>
      </c>
      <c r="F52" s="36">
        <v>5621</v>
      </c>
      <c r="G52" s="1" t="s">
        <v>3</v>
      </c>
      <c r="I52" s="23">
        <f t="shared" si="0"/>
        <v>3.0074022829470692E-2</v>
      </c>
    </row>
    <row r="53" spans="1:9">
      <c r="A53" s="10">
        <v>44830</v>
      </c>
      <c r="B53" s="29">
        <v>-22.055833958080527</v>
      </c>
      <c r="C53" s="31">
        <v>21.036042891732961</v>
      </c>
      <c r="D53" s="33">
        <v>34</v>
      </c>
      <c r="E53" s="34">
        <v>0.51226355000000001</v>
      </c>
      <c r="F53" s="36">
        <v>6316</v>
      </c>
      <c r="G53" s="1" t="s">
        <v>3</v>
      </c>
      <c r="I53" s="23">
        <f t="shared" si="0"/>
        <v>4.1010031131094138E-2</v>
      </c>
    </row>
    <row r="54" spans="1:9">
      <c r="A54" s="10">
        <v>44831</v>
      </c>
      <c r="B54" s="29">
        <v>-22.684857118065597</v>
      </c>
      <c r="C54" s="31">
        <v>21.087988931165683</v>
      </c>
      <c r="D54" s="33">
        <v>26</v>
      </c>
      <c r="E54" s="34">
        <v>0.51142452999999999</v>
      </c>
      <c r="F54" s="36">
        <v>5247</v>
      </c>
      <c r="G54" s="1" t="s">
        <v>3</v>
      </c>
      <c r="I54" s="23">
        <f t="shared" si="0"/>
        <v>5.1946039432721136E-2</v>
      </c>
    </row>
    <row r="55" spans="1:9">
      <c r="A55" s="10">
        <v>44832</v>
      </c>
      <c r="B55" s="29">
        <v>-23.869137184204781</v>
      </c>
      <c r="C55" s="31">
        <v>21.150870978900034</v>
      </c>
      <c r="D55" s="33">
        <v>26</v>
      </c>
      <c r="E55" s="34">
        <v>0.50826881000000002</v>
      </c>
      <c r="F55" s="35">
        <v>5327</v>
      </c>
      <c r="G55" s="1" t="s">
        <v>3</v>
      </c>
      <c r="I55" s="23">
        <f t="shared" si="0"/>
        <v>6.2882047734351687E-2</v>
      </c>
    </row>
    <row r="56" spans="1:9">
      <c r="A56" s="10">
        <v>44833</v>
      </c>
      <c r="B56" s="29">
        <v>-24.36344955995758</v>
      </c>
      <c r="C56" s="31">
        <v>21.224689034936009</v>
      </c>
      <c r="D56" s="33">
        <v>47</v>
      </c>
      <c r="E56" s="34">
        <v>0.50508883000000004</v>
      </c>
      <c r="F56" s="35">
        <v>5032</v>
      </c>
      <c r="G56" s="1" t="s">
        <v>3</v>
      </c>
      <c r="I56" s="23">
        <f t="shared" si="0"/>
        <v>7.3818056035975133E-2</v>
      </c>
    </row>
    <row r="57" spans="1:9">
      <c r="A57" s="10">
        <v>44834</v>
      </c>
      <c r="B57" s="29">
        <v>-22.46339893903933</v>
      </c>
      <c r="C57" s="31">
        <v>21.309443099273608</v>
      </c>
      <c r="D57" s="33">
        <v>74</v>
      </c>
      <c r="E57" s="34">
        <v>0.50164836999999995</v>
      </c>
      <c r="F57" s="35">
        <v>4558</v>
      </c>
      <c r="G57" s="1" t="s">
        <v>3</v>
      </c>
      <c r="I57" s="23">
        <f t="shared" si="0"/>
        <v>8.4754064337598578E-2</v>
      </c>
    </row>
    <row r="58" spans="1:9">
      <c r="A58" s="10">
        <v>44835</v>
      </c>
      <c r="B58" s="30">
        <v>-15.782136858339943</v>
      </c>
      <c r="C58" s="31">
        <v>21.40513317191283</v>
      </c>
      <c r="D58" s="33">
        <v>62</v>
      </c>
      <c r="E58" s="34">
        <v>0.49824742</v>
      </c>
      <c r="F58" s="35">
        <v>3834</v>
      </c>
      <c r="I58" s="23">
        <f t="shared" si="0"/>
        <v>9.5690072639222024E-2</v>
      </c>
    </row>
    <row r="59" spans="1:9">
      <c r="A59" s="10">
        <v>44836</v>
      </c>
      <c r="B59" s="30">
        <v>-20.444698235028842</v>
      </c>
      <c r="C59" s="31">
        <v>21.481474922172254</v>
      </c>
      <c r="D59" s="33">
        <v>43</v>
      </c>
      <c r="E59" s="34">
        <v>0.49485295000000001</v>
      </c>
      <c r="F59" s="35">
        <v>2922</v>
      </c>
      <c r="I59" s="23">
        <f t="shared" si="0"/>
        <v>7.6341750259423691E-2</v>
      </c>
    </row>
    <row r="60" spans="1:9">
      <c r="A60" s="10">
        <v>44837</v>
      </c>
      <c r="B60" s="30">
        <v>-21.978600232760172</v>
      </c>
      <c r="C60" s="31">
        <v>21.538468350051883</v>
      </c>
      <c r="D60" s="33">
        <v>27</v>
      </c>
      <c r="E60" s="34">
        <v>0.49126659</v>
      </c>
      <c r="F60" s="35">
        <v>1673</v>
      </c>
      <c r="I60" s="23">
        <f t="shared" si="0"/>
        <v>5.6993427879628911E-2</v>
      </c>
    </row>
    <row r="61" spans="1:9">
      <c r="A61" s="10">
        <v>44838</v>
      </c>
      <c r="B61" s="30">
        <v>-22.642303465031528</v>
      </c>
      <c r="C61" s="31">
        <v>21.576113455551706</v>
      </c>
      <c r="D61" s="33">
        <v>32</v>
      </c>
      <c r="E61" s="34">
        <v>0.48808974999999999</v>
      </c>
      <c r="F61" s="35">
        <v>4310</v>
      </c>
      <c r="I61" s="23">
        <f t="shared" si="0"/>
        <v>3.7645105499823472E-2</v>
      </c>
    </row>
    <row r="62" spans="1:9">
      <c r="A62" s="10">
        <v>44839</v>
      </c>
      <c r="B62" s="30">
        <v>-26.532700904244521</v>
      </c>
      <c r="C62" s="31">
        <v>21.594410238671738</v>
      </c>
      <c r="D62" s="33">
        <v>28</v>
      </c>
      <c r="E62" s="34">
        <v>0.48897721</v>
      </c>
      <c r="F62" s="35">
        <v>4067</v>
      </c>
      <c r="I62" s="23">
        <f t="shared" si="0"/>
        <v>1.8296783120032245E-2</v>
      </c>
    </row>
    <row r="63" spans="1:9">
      <c r="A63" s="10">
        <v>44840</v>
      </c>
      <c r="B63" s="30">
        <v>-26.006765819438886</v>
      </c>
      <c r="C63" s="31">
        <v>21.593358699411969</v>
      </c>
      <c r="D63" s="33">
        <v>27</v>
      </c>
      <c r="E63" s="34">
        <v>0.48967538999999999</v>
      </c>
      <c r="F63" s="35">
        <v>3042</v>
      </c>
      <c r="I63" s="23">
        <f t="shared" si="0"/>
        <v>-1.0515392597696405E-3</v>
      </c>
    </row>
    <row r="64" spans="1:9">
      <c r="A64" s="10">
        <v>44841</v>
      </c>
      <c r="B64" s="30">
        <v>-26.082090741872161</v>
      </c>
      <c r="C64" s="31">
        <v>21.572958837772394</v>
      </c>
      <c r="D64" s="33">
        <v>48</v>
      </c>
      <c r="E64" s="34">
        <v>0.49025412000000002</v>
      </c>
      <c r="F64" s="35">
        <v>3554</v>
      </c>
      <c r="I64" s="23">
        <f t="shared" si="0"/>
        <v>-2.0399861639575079E-2</v>
      </c>
    </row>
    <row r="65" spans="1:9">
      <c r="A65" s="10">
        <v>44842</v>
      </c>
      <c r="B65" s="30">
        <v>-15.981401926931458</v>
      </c>
      <c r="C65" s="31">
        <v>21.533210653753027</v>
      </c>
      <c r="D65" s="33">
        <v>47</v>
      </c>
      <c r="E65" s="34">
        <v>0.49052177000000002</v>
      </c>
      <c r="F65" s="35">
        <v>2605</v>
      </c>
      <c r="I65" s="23">
        <f t="shared" si="0"/>
        <v>-3.9748184019366306E-2</v>
      </c>
    </row>
    <row r="66" spans="1:9">
      <c r="A66" s="10">
        <v>44843</v>
      </c>
      <c r="B66" s="30">
        <v>-12.568912699197208</v>
      </c>
      <c r="C66" s="31">
        <v>21.507553095814593</v>
      </c>
      <c r="D66" s="33">
        <v>34</v>
      </c>
      <c r="E66" s="34">
        <v>0.49112128999999999</v>
      </c>
      <c r="F66" s="35">
        <v>2242</v>
      </c>
      <c r="I66" s="23">
        <f t="shared" si="0"/>
        <v>-2.5657557938433939E-2</v>
      </c>
    </row>
    <row r="67" spans="1:9">
      <c r="A67" s="10">
        <v>44844</v>
      </c>
      <c r="B67" s="30">
        <v>-34.041449131093202</v>
      </c>
      <c r="C67" s="31">
        <v>21.495986163957106</v>
      </c>
      <c r="D67" s="33">
        <v>29</v>
      </c>
      <c r="E67" s="34">
        <v>0.49194724000000001</v>
      </c>
      <c r="F67" s="35">
        <v>1372</v>
      </c>
      <c r="I67" s="23">
        <f t="shared" si="0"/>
        <v>-1.1566931857487361E-2</v>
      </c>
    </row>
    <row r="68" spans="1:9">
      <c r="A68" s="10">
        <v>44845</v>
      </c>
      <c r="B68" s="30">
        <v>-23.239609243940535</v>
      </c>
      <c r="C68" s="31">
        <v>21.498509858180558</v>
      </c>
      <c r="D68" s="33">
        <v>32</v>
      </c>
      <c r="E68" s="34">
        <v>0.49259579999999997</v>
      </c>
      <c r="F68" s="35">
        <v>1504</v>
      </c>
      <c r="I68" s="23">
        <f t="shared" si="0"/>
        <v>2.5236942234521109E-3</v>
      </c>
    </row>
    <row r="69" spans="1:9">
      <c r="A69" s="10">
        <v>44846</v>
      </c>
      <c r="B69" s="30">
        <v>-25.175237204436847</v>
      </c>
      <c r="C69" s="31">
        <v>21.515124178484946</v>
      </c>
      <c r="D69" s="33">
        <v>37</v>
      </c>
      <c r="E69" s="34">
        <v>0.49069689</v>
      </c>
      <c r="F69" s="35">
        <v>4790</v>
      </c>
      <c r="I69" s="23">
        <f t="shared" ref="I69:I132" si="1">C69-C68</f>
        <v>1.6614320304388031E-2</v>
      </c>
    </row>
    <row r="70" spans="1:9">
      <c r="A70" s="10">
        <v>44847</v>
      </c>
      <c r="B70" s="30">
        <v>-25.778098779017412</v>
      </c>
      <c r="C70" s="31">
        <v>21.545829124870277</v>
      </c>
      <c r="D70" s="33">
        <v>31</v>
      </c>
      <c r="E70" s="34">
        <v>0.47877885999999997</v>
      </c>
      <c r="F70" s="35">
        <v>4338</v>
      </c>
      <c r="I70" s="23">
        <f t="shared" si="1"/>
        <v>3.0704946385331056E-2</v>
      </c>
    </row>
    <row r="71" spans="1:9">
      <c r="A71" s="10">
        <v>44848</v>
      </c>
      <c r="B71" s="30">
        <v>-23.937559087753407</v>
      </c>
      <c r="C71" s="31">
        <v>21.590624697336558</v>
      </c>
      <c r="D71" s="33">
        <v>60</v>
      </c>
      <c r="E71" s="34">
        <v>0.4663967</v>
      </c>
      <c r="F71" s="35">
        <v>3495</v>
      </c>
      <c r="I71" s="23">
        <f t="shared" si="1"/>
        <v>4.4795572466281186E-2</v>
      </c>
    </row>
    <row r="72" spans="1:9">
      <c r="A72" s="10">
        <v>44849</v>
      </c>
      <c r="B72" s="30">
        <v>-17.52915998026862</v>
      </c>
      <c r="C72" s="31">
        <v>21.649510895883775</v>
      </c>
      <c r="D72" s="33">
        <v>52</v>
      </c>
      <c r="E72" s="34">
        <v>0.46394460999999998</v>
      </c>
      <c r="F72" s="35">
        <v>3239</v>
      </c>
      <c r="I72" s="23">
        <f t="shared" si="1"/>
        <v>5.8886198547217106E-2</v>
      </c>
    </row>
    <row r="73" spans="1:9">
      <c r="A73" s="10">
        <v>44850</v>
      </c>
      <c r="B73" s="30">
        <v>-19.272774016407109</v>
      </c>
      <c r="C73" s="31">
        <v>21.702508474576266</v>
      </c>
      <c r="D73" s="33">
        <v>30</v>
      </c>
      <c r="E73" s="34">
        <v>0.24175709000000001</v>
      </c>
      <c r="F73" s="35">
        <v>2714</v>
      </c>
      <c r="I73" s="23">
        <f t="shared" si="1"/>
        <v>5.2997578692490777E-2</v>
      </c>
    </row>
    <row r="74" spans="1:9">
      <c r="A74" s="10">
        <v>44851</v>
      </c>
      <c r="B74" s="30">
        <v>-23.961954995561342</v>
      </c>
      <c r="C74" s="31">
        <v>21.749617433414041</v>
      </c>
      <c r="D74" s="33">
        <v>24</v>
      </c>
      <c r="E74" s="34">
        <v>0.32077837999999997</v>
      </c>
      <c r="F74" s="35">
        <v>1588</v>
      </c>
      <c r="I74" s="23">
        <f t="shared" si="1"/>
        <v>4.7108958837775106E-2</v>
      </c>
    </row>
    <row r="75" spans="1:9">
      <c r="A75" s="10">
        <v>44852</v>
      </c>
      <c r="B75" s="30">
        <v>-23.28924914675768</v>
      </c>
      <c r="C75" s="31">
        <v>21.79083777239709</v>
      </c>
      <c r="D75" s="33">
        <v>33</v>
      </c>
      <c r="E75" s="34">
        <v>0.32824499000000001</v>
      </c>
      <c r="F75" s="35">
        <v>4213</v>
      </c>
      <c r="I75" s="23">
        <f t="shared" si="1"/>
        <v>4.1220338983048777E-2</v>
      </c>
    </row>
    <row r="76" spans="1:9">
      <c r="A76" s="10">
        <v>44853</v>
      </c>
      <c r="B76" s="30">
        <v>-24.189716190423791</v>
      </c>
      <c r="C76" s="31">
        <v>21.826169491525423</v>
      </c>
      <c r="D76" s="33">
        <v>29</v>
      </c>
      <c r="E76" s="34">
        <v>0.45748703000000002</v>
      </c>
      <c r="F76" s="35">
        <v>4204</v>
      </c>
      <c r="I76" s="23">
        <f t="shared" si="1"/>
        <v>3.5331719128333106E-2</v>
      </c>
    </row>
    <row r="77" spans="1:9">
      <c r="A77" s="10">
        <v>44854</v>
      </c>
      <c r="B77" s="30">
        <v>-22.896456130094482</v>
      </c>
      <c r="C77" s="31">
        <v>21.85561259079903</v>
      </c>
      <c r="D77" s="33">
        <v>34</v>
      </c>
      <c r="E77" s="34">
        <v>0.45662180000000002</v>
      </c>
      <c r="F77" s="35">
        <v>3489</v>
      </c>
      <c r="I77" s="23">
        <f t="shared" si="1"/>
        <v>2.9443099273606776E-2</v>
      </c>
    </row>
    <row r="78" spans="1:9">
      <c r="A78" s="10">
        <v>44855</v>
      </c>
      <c r="B78" s="30">
        <v>-21.504623891199802</v>
      </c>
      <c r="C78" s="31">
        <v>21.879167070217914</v>
      </c>
      <c r="D78" s="33">
        <v>66</v>
      </c>
      <c r="E78" s="34">
        <v>0.45532348</v>
      </c>
      <c r="F78" s="35">
        <v>2840</v>
      </c>
      <c r="I78" s="23">
        <f t="shared" si="1"/>
        <v>2.3554479418884E-2</v>
      </c>
    </row>
    <row r="79" spans="1:9">
      <c r="A79" s="10">
        <v>44856</v>
      </c>
      <c r="B79" s="30">
        <v>-13.812940599808933</v>
      </c>
      <c r="C79" s="31">
        <v>21.896832929782079</v>
      </c>
      <c r="D79" s="33">
        <v>60</v>
      </c>
      <c r="E79" s="34">
        <v>0.46399685000000002</v>
      </c>
      <c r="F79" s="35">
        <v>3231</v>
      </c>
      <c r="I79" s="23">
        <f t="shared" si="1"/>
        <v>1.7665859564164776E-2</v>
      </c>
    </row>
    <row r="80" spans="1:9">
      <c r="A80" s="10">
        <v>44857</v>
      </c>
      <c r="B80" s="30">
        <v>-17.354482045895274</v>
      </c>
      <c r="C80" s="31">
        <v>21.916391560013835</v>
      </c>
      <c r="D80" s="33">
        <v>47</v>
      </c>
      <c r="E80" s="34">
        <v>0.47319419000000001</v>
      </c>
      <c r="F80" s="35">
        <v>2805</v>
      </c>
      <c r="I80" s="23">
        <f t="shared" si="1"/>
        <v>1.9558630231756524E-2</v>
      </c>
    </row>
    <row r="81" spans="1:9">
      <c r="A81" s="10">
        <v>44858</v>
      </c>
      <c r="B81" s="30">
        <v>-23.411714913704547</v>
      </c>
      <c r="C81" s="31">
        <v>21.937842960913173</v>
      </c>
      <c r="D81" s="33">
        <v>30</v>
      </c>
      <c r="E81" s="34">
        <v>0.47218650000000001</v>
      </c>
      <c r="F81" s="35">
        <v>1735</v>
      </c>
      <c r="I81" s="23">
        <f t="shared" si="1"/>
        <v>2.1451400899337614E-2</v>
      </c>
    </row>
    <row r="82" spans="1:9">
      <c r="A82" s="10">
        <v>44859</v>
      </c>
      <c r="B82" s="30">
        <v>-22.005878694973102</v>
      </c>
      <c r="C82" s="31">
        <v>21.980956070563813</v>
      </c>
      <c r="D82" s="33">
        <v>23</v>
      </c>
      <c r="E82" s="34">
        <v>0.47159951</v>
      </c>
      <c r="F82" s="35">
        <v>4702</v>
      </c>
      <c r="I82" s="23">
        <f t="shared" si="1"/>
        <v>4.3113109650640524E-2</v>
      </c>
    </row>
    <row r="83" spans="1:9">
      <c r="A83" s="10">
        <v>44860</v>
      </c>
      <c r="B83" s="30">
        <v>-22.389166755755081</v>
      </c>
      <c r="C83" s="31">
        <v>22.045730888965753</v>
      </c>
      <c r="D83" s="33">
        <v>47</v>
      </c>
      <c r="E83" s="34">
        <v>0.46530196000000001</v>
      </c>
      <c r="F83" s="35">
        <v>4347</v>
      </c>
      <c r="I83" s="23">
        <f t="shared" si="1"/>
        <v>6.4774818401939882E-2</v>
      </c>
    </row>
    <row r="84" spans="1:9">
      <c r="A84" s="10">
        <v>44861</v>
      </c>
      <c r="B84" s="30">
        <v>-22.163984749969501</v>
      </c>
      <c r="C84" s="31">
        <v>22.132167416118985</v>
      </c>
      <c r="D84" s="33">
        <v>57</v>
      </c>
      <c r="E84" s="34">
        <v>0.45880331000000002</v>
      </c>
      <c r="F84" s="35">
        <v>3941</v>
      </c>
      <c r="I84" s="23">
        <f t="shared" si="1"/>
        <v>8.6436527153232134E-2</v>
      </c>
    </row>
    <row r="85" spans="1:9">
      <c r="A85" s="10">
        <v>44862</v>
      </c>
      <c r="B85" s="30">
        <v>-20.608246812270604</v>
      </c>
      <c r="C85" s="31">
        <v>22.240265652023517</v>
      </c>
      <c r="D85" s="33">
        <v>71</v>
      </c>
      <c r="E85" s="34">
        <v>0.45312068999999999</v>
      </c>
      <c r="F85" s="35">
        <v>3520</v>
      </c>
      <c r="I85" s="23">
        <f t="shared" si="1"/>
        <v>0.10809823590453149</v>
      </c>
    </row>
    <row r="86" spans="1:9">
      <c r="A86" s="10">
        <v>44863</v>
      </c>
      <c r="B86" s="30">
        <v>-12.095850166405455</v>
      </c>
      <c r="C86" s="31">
        <v>22.370025596679348</v>
      </c>
      <c r="D86" s="33">
        <v>76</v>
      </c>
      <c r="E86" s="34">
        <v>0.44762865000000002</v>
      </c>
      <c r="F86" s="35">
        <v>4121</v>
      </c>
      <c r="I86" s="23">
        <f t="shared" si="1"/>
        <v>0.12975994465583085</v>
      </c>
    </row>
    <row r="87" spans="1:9">
      <c r="A87" s="10">
        <v>44864</v>
      </c>
      <c r="B87" s="30">
        <v>-15.693577283404656</v>
      </c>
      <c r="C87" s="31">
        <v>22.519554479418883</v>
      </c>
      <c r="D87" s="33">
        <v>28</v>
      </c>
      <c r="E87" s="34">
        <v>0.44275547999999998</v>
      </c>
      <c r="F87" s="35">
        <v>3687</v>
      </c>
      <c r="I87" s="23">
        <f t="shared" si="1"/>
        <v>0.14952888273953491</v>
      </c>
    </row>
    <row r="88" spans="1:9">
      <c r="A88" s="10">
        <v>44865</v>
      </c>
      <c r="B88" s="30">
        <v>-18.75001141160244</v>
      </c>
      <c r="C88" s="31">
        <v>22.688852300242129</v>
      </c>
      <c r="D88" s="33">
        <v>28</v>
      </c>
      <c r="E88" s="34">
        <v>0.43754850000000001</v>
      </c>
      <c r="F88" s="35">
        <v>2019</v>
      </c>
      <c r="I88" s="23">
        <f t="shared" si="1"/>
        <v>0.16929782082324607</v>
      </c>
    </row>
    <row r="89" spans="1:9">
      <c r="A89" s="10">
        <v>44866</v>
      </c>
      <c r="B89" s="30">
        <v>-19.646699832243883</v>
      </c>
      <c r="C89" s="31">
        <v>22.851420269802837</v>
      </c>
      <c r="D89" s="33">
        <v>37</v>
      </c>
      <c r="E89" s="34">
        <v>0.432564</v>
      </c>
      <c r="F89" s="35">
        <v>6522</v>
      </c>
      <c r="I89" s="23">
        <f t="shared" si="1"/>
        <v>0.16256796956070829</v>
      </c>
    </row>
    <row r="90" spans="1:9">
      <c r="A90" s="10">
        <v>44867</v>
      </c>
      <c r="B90" s="30">
        <v>-19.556607824203194</v>
      </c>
      <c r="C90" s="31">
        <v>23.007258388101004</v>
      </c>
      <c r="D90" s="33">
        <v>41</v>
      </c>
      <c r="E90" s="34">
        <v>0.43772899999999998</v>
      </c>
      <c r="F90" s="35">
        <v>6347</v>
      </c>
      <c r="I90" s="23">
        <f t="shared" si="1"/>
        <v>0.15583811829816696</v>
      </c>
    </row>
    <row r="91" spans="1:9">
      <c r="A91" s="10">
        <v>44868</v>
      </c>
      <c r="B91" s="30">
        <v>-31.536657109619416</v>
      </c>
      <c r="C91" s="31">
        <v>23.15636665513663</v>
      </c>
      <c r="D91" s="33">
        <v>50</v>
      </c>
      <c r="E91" s="34">
        <v>0.44385419999999998</v>
      </c>
      <c r="F91" s="35">
        <v>6700</v>
      </c>
      <c r="I91" s="23">
        <f t="shared" si="1"/>
        <v>0.14910826703562563</v>
      </c>
    </row>
    <row r="92" spans="1:9">
      <c r="A92" s="10">
        <v>44869</v>
      </c>
      <c r="B92" s="30">
        <v>-26.42586516182806</v>
      </c>
      <c r="C92" s="31">
        <v>23.298745070909717</v>
      </c>
      <c r="D92" s="33">
        <v>56</v>
      </c>
      <c r="E92" s="34">
        <v>0.44804066999999997</v>
      </c>
      <c r="F92" s="35">
        <v>3098</v>
      </c>
      <c r="I92" s="23">
        <f t="shared" si="1"/>
        <v>0.14237841577308785</v>
      </c>
    </row>
    <row r="93" spans="1:9">
      <c r="A93" s="10">
        <v>44870</v>
      </c>
      <c r="B93" s="30">
        <v>-18.507923771940231</v>
      </c>
      <c r="C93" s="31">
        <v>23.434393635420268</v>
      </c>
      <c r="D93" s="33">
        <v>56</v>
      </c>
      <c r="E93" s="34">
        <v>0.45321906000000001</v>
      </c>
      <c r="F93" s="35">
        <v>7967</v>
      </c>
      <c r="I93" s="23">
        <f t="shared" si="1"/>
        <v>0.13564856451055007</v>
      </c>
    </row>
    <row r="94" spans="1:9">
      <c r="A94" s="10">
        <v>44871</v>
      </c>
      <c r="B94" s="30">
        <v>-19.582173210094059</v>
      </c>
      <c r="C94" s="31">
        <v>23.56331234866828</v>
      </c>
      <c r="D94" s="33">
        <v>37</v>
      </c>
      <c r="E94" s="34">
        <v>0.45899014999999999</v>
      </c>
      <c r="F94" s="35">
        <v>6270</v>
      </c>
      <c r="I94" s="23">
        <f t="shared" si="1"/>
        <v>0.1289187132480123</v>
      </c>
    </row>
    <row r="95" spans="1:9">
      <c r="A95" s="10">
        <v>44872</v>
      </c>
      <c r="B95" s="30">
        <v>-22.987312854284607</v>
      </c>
      <c r="C95" s="31">
        <v>23.685501210653751</v>
      </c>
      <c r="D95" s="33">
        <v>21</v>
      </c>
      <c r="E95" s="34">
        <v>0.46411353</v>
      </c>
      <c r="F95" s="35">
        <v>3507</v>
      </c>
      <c r="I95" s="23">
        <f t="shared" si="1"/>
        <v>0.12218886198547096</v>
      </c>
    </row>
    <row r="96" spans="1:9">
      <c r="A96" s="10">
        <v>44873</v>
      </c>
      <c r="B96" s="30">
        <v>-22.755466535546944</v>
      </c>
      <c r="C96" s="31">
        <v>23.921466620546521</v>
      </c>
      <c r="D96" s="33">
        <v>41</v>
      </c>
      <c r="E96" s="34">
        <v>0.46988351</v>
      </c>
      <c r="F96" s="35">
        <v>8665</v>
      </c>
      <c r="I96" s="23">
        <f t="shared" si="1"/>
        <v>0.23596540989277059</v>
      </c>
    </row>
    <row r="97" spans="1:9">
      <c r="A97" s="10">
        <v>44874</v>
      </c>
      <c r="B97" s="30">
        <v>-23.820036988813861</v>
      </c>
      <c r="C97" s="31">
        <v>24.181407125562089</v>
      </c>
      <c r="D97" s="33">
        <v>33</v>
      </c>
      <c r="E97" s="34">
        <v>0.46925336000000001</v>
      </c>
      <c r="F97" s="35">
        <v>9012</v>
      </c>
      <c r="I97" s="23">
        <f t="shared" si="1"/>
        <v>0.25994050501556742</v>
      </c>
    </row>
    <row r="98" spans="1:9">
      <c r="A98" s="10">
        <v>44875</v>
      </c>
      <c r="B98" s="30">
        <v>-22.908899176221688</v>
      </c>
      <c r="C98" s="31">
        <v>24.450601176063646</v>
      </c>
      <c r="D98" s="33">
        <v>47</v>
      </c>
      <c r="E98" s="34">
        <v>0.46851161000000002</v>
      </c>
      <c r="F98" s="35">
        <v>7969</v>
      </c>
      <c r="I98" s="23">
        <f t="shared" si="1"/>
        <v>0.26919405050155731</v>
      </c>
    </row>
    <row r="99" spans="1:9">
      <c r="A99" s="10">
        <v>44876</v>
      </c>
      <c r="B99" s="30">
        <v>-21.295600455199367</v>
      </c>
      <c r="C99" s="31">
        <v>24.743770321687997</v>
      </c>
      <c r="D99" s="33">
        <v>70</v>
      </c>
      <c r="E99" s="34">
        <v>0.47531578000000002</v>
      </c>
      <c r="F99" s="35">
        <v>7899</v>
      </c>
      <c r="I99" s="23">
        <f t="shared" si="1"/>
        <v>0.29316914562435059</v>
      </c>
    </row>
    <row r="100" spans="1:9">
      <c r="A100" s="10">
        <v>44877</v>
      </c>
      <c r="B100" s="30">
        <v>-13.399541682537105</v>
      </c>
      <c r="C100" s="31">
        <v>25.046193012798341</v>
      </c>
      <c r="D100" s="33">
        <v>55</v>
      </c>
      <c r="E100" s="34">
        <v>0.47622407999999999</v>
      </c>
      <c r="F100" s="35">
        <v>8021</v>
      </c>
      <c r="I100" s="23">
        <f t="shared" si="1"/>
        <v>0.30242269111034403</v>
      </c>
    </row>
    <row r="101" spans="1:9">
      <c r="A101" s="10">
        <v>44878</v>
      </c>
      <c r="B101" s="30">
        <v>-16.902410496748402</v>
      </c>
      <c r="C101" s="31">
        <v>25.372590799031475</v>
      </c>
      <c r="D101" s="33">
        <v>47</v>
      </c>
      <c r="E101" s="34">
        <v>0.47705362000000001</v>
      </c>
      <c r="F101" s="35">
        <v>6922</v>
      </c>
      <c r="I101" s="23">
        <f t="shared" si="1"/>
        <v>0.32639778623313376</v>
      </c>
    </row>
    <row r="102" spans="1:9">
      <c r="A102" s="10">
        <v>44879</v>
      </c>
      <c r="B102" s="30">
        <v>-22.024392711035219</v>
      </c>
      <c r="C102" s="31">
        <v>25.71118644067796</v>
      </c>
      <c r="D102" s="33">
        <v>20</v>
      </c>
      <c r="E102" s="34">
        <v>0.4782015</v>
      </c>
      <c r="F102" s="35">
        <v>4025</v>
      </c>
      <c r="I102" s="23">
        <f t="shared" si="1"/>
        <v>0.33859564164648503</v>
      </c>
    </row>
    <row r="103" spans="1:9">
      <c r="A103" s="10">
        <v>44880</v>
      </c>
      <c r="B103" s="30">
        <v>-21.723151790362699</v>
      </c>
      <c r="C103" s="31">
        <v>26.008141127637494</v>
      </c>
      <c r="D103" s="33">
        <v>24</v>
      </c>
      <c r="E103" s="34">
        <v>0.47428960999999997</v>
      </c>
      <c r="F103" s="35">
        <v>11196</v>
      </c>
      <c r="I103" s="23">
        <f t="shared" si="1"/>
        <v>0.29695468695953409</v>
      </c>
    </row>
    <row r="104" spans="1:9">
      <c r="A104" s="10">
        <v>44881</v>
      </c>
      <c r="B104" s="30">
        <v>-21.369136313633941</v>
      </c>
      <c r="C104" s="31">
        <v>26.29731442407471</v>
      </c>
      <c r="D104" s="33">
        <v>37</v>
      </c>
      <c r="E104" s="34">
        <v>0.46175695</v>
      </c>
      <c r="F104" s="35">
        <v>10114</v>
      </c>
      <c r="I104" s="23">
        <f t="shared" si="1"/>
        <v>0.28917329643721601</v>
      </c>
    </row>
    <row r="105" spans="1:9">
      <c r="A105" s="10">
        <v>44882</v>
      </c>
      <c r="B105" s="30">
        <v>-22.921655036357677</v>
      </c>
      <c r="C105" s="31">
        <v>26.608149429263229</v>
      </c>
      <c r="D105" s="33">
        <v>54</v>
      </c>
      <c r="E105" s="34">
        <v>0.42773331999999997</v>
      </c>
      <c r="F105" s="35">
        <v>9755</v>
      </c>
      <c r="I105" s="23">
        <f t="shared" si="1"/>
        <v>0.31083500518851892</v>
      </c>
    </row>
    <row r="106" spans="1:9">
      <c r="A106" s="10">
        <v>44883</v>
      </c>
      <c r="B106" s="30">
        <v>-22.211041772805025</v>
      </c>
      <c r="C106" s="31">
        <v>26.911203043929429</v>
      </c>
      <c r="D106" s="33">
        <v>60</v>
      </c>
      <c r="E106" s="34">
        <v>0.42351387000000001</v>
      </c>
      <c r="F106" s="35">
        <v>8292</v>
      </c>
      <c r="I106" s="23">
        <f t="shared" si="1"/>
        <v>0.30305361466620084</v>
      </c>
    </row>
    <row r="107" spans="1:9">
      <c r="A107" s="10">
        <v>44884</v>
      </c>
      <c r="B107" s="30">
        <v>-13.093580433465918</v>
      </c>
      <c r="C107" s="31">
        <v>27.235918367346937</v>
      </c>
      <c r="D107" s="33">
        <v>77</v>
      </c>
      <c r="E107" s="34">
        <v>0.42030311999999997</v>
      </c>
      <c r="F107" s="35">
        <v>9457</v>
      </c>
      <c r="I107" s="23">
        <f t="shared" si="1"/>
        <v>0.32471532341750731</v>
      </c>
    </row>
    <row r="108" spans="1:9">
      <c r="A108" s="10">
        <v>44885</v>
      </c>
      <c r="B108" s="30">
        <v>-17.686705422525261</v>
      </c>
      <c r="C108" s="31">
        <v>27.552852300242133</v>
      </c>
      <c r="D108" s="33">
        <v>46</v>
      </c>
      <c r="E108" s="34">
        <v>0.41421525999999997</v>
      </c>
      <c r="F108" s="35">
        <v>7777</v>
      </c>
      <c r="I108" s="23">
        <f t="shared" si="1"/>
        <v>0.31693393289519634</v>
      </c>
    </row>
    <row r="109" spans="1:9">
      <c r="A109" s="10">
        <v>44886</v>
      </c>
      <c r="B109" s="30">
        <v>-22.832918437899522</v>
      </c>
      <c r="C109" s="31">
        <v>27.873782082324457</v>
      </c>
      <c r="D109" s="33">
        <v>51</v>
      </c>
      <c r="E109" s="34">
        <v>0.41093278999999999</v>
      </c>
      <c r="F109" s="35">
        <v>4619</v>
      </c>
      <c r="I109" s="23">
        <f t="shared" si="1"/>
        <v>0.32092978208232381</v>
      </c>
    </row>
    <row r="110" spans="1:9">
      <c r="A110" s="10">
        <v>44887</v>
      </c>
      <c r="B110" s="30">
        <v>-16.562626540174698</v>
      </c>
      <c r="C110" s="31">
        <v>28.122786579038397</v>
      </c>
      <c r="D110" s="33">
        <v>54</v>
      </c>
      <c r="E110" s="34">
        <v>0.41483916999999998</v>
      </c>
      <c r="F110" s="35">
        <v>12758</v>
      </c>
      <c r="I110" s="23">
        <f t="shared" si="1"/>
        <v>0.24900449671394043</v>
      </c>
    </row>
    <row r="111" spans="1:9">
      <c r="A111" s="10">
        <v>44888</v>
      </c>
      <c r="B111" s="30">
        <v>-36.492240253872389</v>
      </c>
      <c r="C111" s="31">
        <v>28.355807679003806</v>
      </c>
      <c r="D111" s="33">
        <v>49</v>
      </c>
      <c r="E111" s="34">
        <v>0.42238029999999999</v>
      </c>
      <c r="F111" s="35">
        <v>12850</v>
      </c>
      <c r="I111" s="23">
        <f t="shared" si="1"/>
        <v>0.23302109996540921</v>
      </c>
    </row>
    <row r="112" spans="1:9">
      <c r="A112" s="10">
        <v>44889</v>
      </c>
      <c r="B112" s="30">
        <v>-24.766075946375338</v>
      </c>
      <c r="C112" s="31">
        <v>28.558123832583878</v>
      </c>
      <c r="D112" s="33">
        <v>42</v>
      </c>
      <c r="E112" s="34">
        <v>0.41035135</v>
      </c>
      <c r="F112" s="35">
        <v>5639</v>
      </c>
      <c r="I112" s="23">
        <f t="shared" si="1"/>
        <v>0.20231615358007105</v>
      </c>
    </row>
    <row r="113" spans="1:9">
      <c r="A113" s="10">
        <v>44890</v>
      </c>
      <c r="B113" s="30">
        <v>-22.880762621599587</v>
      </c>
      <c r="C113" s="31">
        <v>28.744456589415424</v>
      </c>
      <c r="D113" s="33">
        <v>80</v>
      </c>
      <c r="E113" s="34">
        <v>0.41400513</v>
      </c>
      <c r="F113" s="38">
        <v>12938</v>
      </c>
      <c r="I113" s="23">
        <f t="shared" si="1"/>
        <v>0.18633275683154693</v>
      </c>
    </row>
    <row r="114" spans="1:9">
      <c r="A114" s="10">
        <v>44891</v>
      </c>
      <c r="B114" s="30">
        <v>-15.472429144994413</v>
      </c>
      <c r="C114" s="31">
        <v>28.90008439986164</v>
      </c>
      <c r="D114" s="33">
        <v>78</v>
      </c>
      <c r="E114" s="34">
        <v>0.4138037</v>
      </c>
      <c r="F114" s="38">
        <v>13567</v>
      </c>
      <c r="I114" s="23">
        <f t="shared" si="1"/>
        <v>0.15562781044621588</v>
      </c>
    </row>
    <row r="115" spans="1:9">
      <c r="A115" s="10">
        <v>44892</v>
      </c>
      <c r="B115" s="30">
        <v>-16.820744042909464</v>
      </c>
      <c r="C115" s="31">
        <v>29.039728813559321</v>
      </c>
      <c r="D115" s="33">
        <v>42</v>
      </c>
      <c r="E115" s="34">
        <v>0.41846761999999998</v>
      </c>
      <c r="F115" s="38">
        <v>10346</v>
      </c>
      <c r="I115" s="23">
        <f t="shared" si="1"/>
        <v>0.1396444136976811</v>
      </c>
    </row>
    <row r="116" spans="1:9">
      <c r="A116" s="10">
        <v>44893</v>
      </c>
      <c r="B116" s="30">
        <v>-22.262228764468542</v>
      </c>
      <c r="C116" s="31">
        <v>29.163389830508471</v>
      </c>
      <c r="D116" s="33">
        <v>37</v>
      </c>
      <c r="E116" s="34">
        <v>0.41786794999999999</v>
      </c>
      <c r="F116" s="38">
        <v>5767</v>
      </c>
      <c r="I116" s="23">
        <f t="shared" si="1"/>
        <v>0.12366101694914988</v>
      </c>
    </row>
    <row r="117" spans="1:9">
      <c r="A117" s="10">
        <v>44894</v>
      </c>
      <c r="B117" s="30">
        <v>-24.067868918840748</v>
      </c>
      <c r="C117" s="31">
        <v>29.287261155309579</v>
      </c>
      <c r="D117" s="33">
        <v>44</v>
      </c>
      <c r="E117" s="34">
        <v>0.42277376</v>
      </c>
      <c r="F117" s="38">
        <v>14680</v>
      </c>
      <c r="I117" s="23">
        <f t="shared" si="1"/>
        <v>0.12387132480110807</v>
      </c>
    </row>
    <row r="118" spans="1:9">
      <c r="A118" s="10">
        <v>44895</v>
      </c>
      <c r="B118" s="30">
        <v>-24.570155647619391</v>
      </c>
      <c r="C118" s="31">
        <v>29.411342787962639</v>
      </c>
      <c r="D118" s="33">
        <v>63</v>
      </c>
      <c r="E118" s="34">
        <v>0.42761579999999999</v>
      </c>
      <c r="F118" s="38">
        <v>14399</v>
      </c>
      <c r="I118" s="23">
        <f t="shared" si="1"/>
        <v>0.12408163265305916</v>
      </c>
    </row>
    <row r="119" spans="1:9">
      <c r="A119" s="10">
        <v>44896</v>
      </c>
      <c r="B119" s="30">
        <v>-24.885848954627718</v>
      </c>
      <c r="C119" s="31">
        <v>29.535634728467659</v>
      </c>
      <c r="D119" s="33">
        <v>63</v>
      </c>
      <c r="E119" s="34">
        <v>0.43718906000000002</v>
      </c>
      <c r="F119" s="38">
        <v>12332</v>
      </c>
      <c r="I119" s="23">
        <f t="shared" si="1"/>
        <v>0.1242919405050209</v>
      </c>
    </row>
    <row r="120" spans="1:9">
      <c r="A120" s="10">
        <v>44897</v>
      </c>
      <c r="B120" s="30">
        <v>-23.9446837776342</v>
      </c>
      <c r="C120" s="31">
        <v>29.660136976824628</v>
      </c>
      <c r="D120" s="33">
        <v>103</v>
      </c>
      <c r="E120" s="34">
        <v>0.43605561999999998</v>
      </c>
      <c r="F120" s="38">
        <v>11244</v>
      </c>
      <c r="I120" s="23">
        <f t="shared" si="1"/>
        <v>0.12450224835696844</v>
      </c>
    </row>
    <row r="121" spans="1:9">
      <c r="A121" s="10">
        <v>44898</v>
      </c>
      <c r="B121" s="30">
        <v>-14.901054317487873</v>
      </c>
      <c r="C121" s="31">
        <v>29.784849533033555</v>
      </c>
      <c r="D121" s="33">
        <v>125</v>
      </c>
      <c r="E121" s="34">
        <v>0.43550285</v>
      </c>
      <c r="F121" s="38">
        <v>13321</v>
      </c>
      <c r="I121" s="23">
        <f t="shared" si="1"/>
        <v>0.12471255620892663</v>
      </c>
    </row>
    <row r="122" spans="1:9">
      <c r="A122" s="10">
        <v>44899</v>
      </c>
      <c r="B122" s="30">
        <v>-17.842614107126874</v>
      </c>
      <c r="C122" s="31">
        <v>29.909772397094432</v>
      </c>
      <c r="D122" s="33">
        <v>85</v>
      </c>
      <c r="E122" s="34">
        <v>0.43528867999999998</v>
      </c>
      <c r="F122" s="38">
        <v>10454</v>
      </c>
      <c r="I122" s="23">
        <f t="shared" si="1"/>
        <v>0.12492286406087771</v>
      </c>
    </row>
    <row r="123" spans="1:9">
      <c r="A123" s="10">
        <v>44900</v>
      </c>
      <c r="B123" s="30">
        <v>-24.035938696506516</v>
      </c>
      <c r="C123" s="31">
        <v>30.034905569007268</v>
      </c>
      <c r="D123" s="33">
        <v>57</v>
      </c>
      <c r="E123" s="34">
        <v>0.43376691000000001</v>
      </c>
      <c r="F123" s="38">
        <v>5388</v>
      </c>
      <c r="I123" s="23">
        <f t="shared" si="1"/>
        <v>0.12513317191283591</v>
      </c>
    </row>
    <row r="124" spans="1:9">
      <c r="A124" s="10">
        <v>44901</v>
      </c>
      <c r="B124" s="30">
        <v>-22.516847920402615</v>
      </c>
      <c r="C124" s="31">
        <v>30.150995503286062</v>
      </c>
      <c r="D124" s="33">
        <v>51</v>
      </c>
      <c r="E124" s="34">
        <v>0.43373787000000003</v>
      </c>
      <c r="F124" s="35">
        <v>15501</v>
      </c>
      <c r="I124" s="23">
        <f t="shared" si="1"/>
        <v>0.11608993427879355</v>
      </c>
    </row>
    <row r="125" spans="1:9">
      <c r="A125" s="10">
        <v>44902</v>
      </c>
      <c r="B125" s="28">
        <v>-21.944237615489982</v>
      </c>
      <c r="C125" s="31">
        <v>30.258042199930824</v>
      </c>
      <c r="D125" s="32">
        <v>55</v>
      </c>
      <c r="E125" s="34">
        <v>0.43382063999999998</v>
      </c>
      <c r="F125" s="35">
        <v>14946</v>
      </c>
      <c r="I125" s="23">
        <f t="shared" si="1"/>
        <v>0.10704669664476185</v>
      </c>
    </row>
    <row r="126" spans="1:9">
      <c r="A126" s="10">
        <v>44903</v>
      </c>
      <c r="B126" s="28">
        <v>-22.470498062127611</v>
      </c>
      <c r="C126" s="31">
        <v>30.356045658941543</v>
      </c>
      <c r="D126" s="32">
        <v>86</v>
      </c>
      <c r="E126" s="34">
        <v>0.43373086</v>
      </c>
      <c r="F126" s="35">
        <v>14104</v>
      </c>
      <c r="I126" s="23">
        <f t="shared" si="1"/>
        <v>9.8003459010719496E-2</v>
      </c>
    </row>
    <row r="127" spans="1:9">
      <c r="A127" s="10">
        <v>44904</v>
      </c>
      <c r="B127" s="28">
        <v>-25.800724941750104</v>
      </c>
      <c r="C127" s="31">
        <v>30.445005880318227</v>
      </c>
      <c r="D127" s="32">
        <v>160</v>
      </c>
      <c r="E127" s="34">
        <v>0.43232957</v>
      </c>
      <c r="F127" s="35">
        <v>13556</v>
      </c>
      <c r="I127" s="23">
        <f t="shared" si="1"/>
        <v>8.8960221376684245E-2</v>
      </c>
    </row>
    <row r="128" spans="1:9">
      <c r="A128" s="10">
        <v>44905</v>
      </c>
      <c r="B128" s="28">
        <v>-22.532444895205568</v>
      </c>
      <c r="C128" s="31">
        <v>30.52492286406088</v>
      </c>
      <c r="D128" s="32">
        <v>162</v>
      </c>
      <c r="E128" s="34">
        <v>0.43155556</v>
      </c>
      <c r="F128" s="35">
        <v>14558</v>
      </c>
      <c r="I128" s="23">
        <f t="shared" si="1"/>
        <v>7.9916983742652548E-2</v>
      </c>
    </row>
    <row r="129" spans="1:9">
      <c r="A129" s="10">
        <v>44906</v>
      </c>
      <c r="B129" s="28">
        <v>-19.981859693709907</v>
      </c>
      <c r="C129" s="31">
        <v>30.595796610169494</v>
      </c>
      <c r="D129" s="32">
        <v>101</v>
      </c>
      <c r="E129" s="34">
        <v>0.43119322999999998</v>
      </c>
      <c r="F129" s="35">
        <v>12163</v>
      </c>
      <c r="I129" s="23">
        <f t="shared" si="1"/>
        <v>7.0873746108613744E-2</v>
      </c>
    </row>
    <row r="130" spans="1:9">
      <c r="A130" s="10">
        <v>44907</v>
      </c>
      <c r="B130" s="28">
        <v>-8.3653864165693612</v>
      </c>
      <c r="C130" s="31">
        <v>30.657627118644069</v>
      </c>
      <c r="D130" s="32">
        <v>66</v>
      </c>
      <c r="E130" s="34">
        <v>0.42940404999999998</v>
      </c>
      <c r="F130" s="35">
        <v>7044</v>
      </c>
      <c r="I130" s="23">
        <f t="shared" si="1"/>
        <v>6.1830508474574941E-2</v>
      </c>
    </row>
    <row r="131" spans="1:9">
      <c r="A131" s="10">
        <v>44908</v>
      </c>
      <c r="B131" s="28">
        <v>-12.780609117200484</v>
      </c>
      <c r="C131" s="31">
        <v>30.720929782082326</v>
      </c>
      <c r="D131" s="32">
        <v>74</v>
      </c>
      <c r="E131" s="34">
        <v>0.43005295999999998</v>
      </c>
      <c r="F131" s="35">
        <v>19800</v>
      </c>
      <c r="I131" s="23">
        <f t="shared" si="1"/>
        <v>6.3302663438257412E-2</v>
      </c>
    </row>
    <row r="132" spans="1:9">
      <c r="A132" s="10">
        <v>44909</v>
      </c>
      <c r="B132" s="28">
        <v>-20.165196182791593</v>
      </c>
      <c r="C132" s="31">
        <v>30.775399515738503</v>
      </c>
      <c r="D132" s="32">
        <v>102</v>
      </c>
      <c r="E132" s="34">
        <v>0.43070203000000001</v>
      </c>
      <c r="F132" s="35">
        <v>18812</v>
      </c>
      <c r="I132" s="23">
        <f t="shared" si="1"/>
        <v>5.44697336561768E-2</v>
      </c>
    </row>
    <row r="133" spans="1:9">
      <c r="A133" s="10">
        <v>44910</v>
      </c>
      <c r="B133" s="28">
        <v>-20.027585758084111</v>
      </c>
      <c r="C133" s="31">
        <v>30.821036319612595</v>
      </c>
      <c r="D133" s="32">
        <v>133</v>
      </c>
      <c r="E133" s="34">
        <v>0.42369937000000002</v>
      </c>
      <c r="F133" s="35">
        <v>17687</v>
      </c>
      <c r="I133" s="23">
        <f t="shared" ref="I133:I196" si="2">C133-C132</f>
        <v>4.5636803874092635E-2</v>
      </c>
    </row>
    <row r="134" spans="1:9">
      <c r="A134" s="10">
        <v>44911</v>
      </c>
      <c r="B134" s="28">
        <v>-19.001148805280813</v>
      </c>
      <c r="C134" s="31">
        <v>30.8578401937046</v>
      </c>
      <c r="D134" s="32">
        <v>221</v>
      </c>
      <c r="E134" s="34">
        <v>0.41594188999999998</v>
      </c>
      <c r="F134" s="35">
        <v>16273</v>
      </c>
      <c r="I134" s="23">
        <f t="shared" si="2"/>
        <v>3.6803874092004918E-2</v>
      </c>
    </row>
    <row r="135" spans="1:9">
      <c r="A135" s="10">
        <v>44912</v>
      </c>
      <c r="B135" s="28">
        <v>-19.196770091087963</v>
      </c>
      <c r="C135" s="31">
        <v>30.885811138014528</v>
      </c>
      <c r="D135" s="32">
        <v>141</v>
      </c>
      <c r="E135" s="34">
        <v>0.41771701999999999</v>
      </c>
      <c r="F135" s="35">
        <v>17020</v>
      </c>
      <c r="I135" s="23">
        <f t="shared" si="2"/>
        <v>2.7970944309927859E-2</v>
      </c>
    </row>
    <row r="136" spans="1:9">
      <c r="A136" s="10">
        <v>44913</v>
      </c>
      <c r="B136" s="28">
        <v>-19.643160395312933</v>
      </c>
      <c r="C136" s="31">
        <v>30.904949152542375</v>
      </c>
      <c r="D136" s="32">
        <v>103</v>
      </c>
      <c r="E136" s="34">
        <v>0.41951200999999999</v>
      </c>
      <c r="F136" s="35">
        <v>13646</v>
      </c>
      <c r="I136" s="23">
        <f t="shared" si="2"/>
        <v>1.9138014527847247E-2</v>
      </c>
    </row>
    <row r="137" spans="1:9">
      <c r="A137" s="10">
        <v>44914</v>
      </c>
      <c r="B137" s="28">
        <v>-5.1198556362432948</v>
      </c>
      <c r="C137" s="31">
        <v>30.915254237288138</v>
      </c>
      <c r="D137" s="32">
        <v>108</v>
      </c>
      <c r="E137" s="34">
        <v>0.32921449000000003</v>
      </c>
      <c r="F137" s="35">
        <v>7949</v>
      </c>
      <c r="I137" s="23">
        <f t="shared" si="2"/>
        <v>1.0305084745763082E-2</v>
      </c>
    </row>
    <row r="138" spans="1:9">
      <c r="A138" s="10">
        <v>44915</v>
      </c>
      <c r="B138" s="28">
        <v>-9.12157016802926</v>
      </c>
      <c r="C138" s="31">
        <v>30.915254237288138</v>
      </c>
      <c r="D138" s="32">
        <v>95</v>
      </c>
      <c r="E138" s="34">
        <v>0.31020045000000002</v>
      </c>
      <c r="F138" s="35">
        <v>20513</v>
      </c>
      <c r="I138" s="23">
        <f t="shared" si="2"/>
        <v>0</v>
      </c>
    </row>
    <row r="139" spans="1:9">
      <c r="A139" s="10">
        <v>44916</v>
      </c>
      <c r="B139" s="28">
        <v>-16.646515298302937</v>
      </c>
      <c r="C139" s="31">
        <v>30.915254237288138</v>
      </c>
      <c r="D139" s="32">
        <v>105</v>
      </c>
      <c r="E139" s="34">
        <v>0.30358727000000002</v>
      </c>
      <c r="F139" s="35">
        <v>21186</v>
      </c>
      <c r="I139" s="23">
        <f t="shared" si="2"/>
        <v>0</v>
      </c>
    </row>
    <row r="140" spans="1:9">
      <c r="A140" s="10">
        <v>44917</v>
      </c>
      <c r="B140" s="28">
        <v>-16.180764447272516</v>
      </c>
      <c r="C140" s="31">
        <v>30.915254237288138</v>
      </c>
      <c r="D140" s="32">
        <v>166</v>
      </c>
      <c r="E140" s="34">
        <v>0.29878022999999998</v>
      </c>
      <c r="F140" s="35">
        <v>18820</v>
      </c>
      <c r="I140" s="23">
        <f t="shared" si="2"/>
        <v>0</v>
      </c>
    </row>
    <row r="141" spans="1:9">
      <c r="A141" s="10">
        <v>44918</v>
      </c>
      <c r="B141" s="28">
        <v>-16.63208178908576</v>
      </c>
      <c r="C141" s="31">
        <v>30.915254237288138</v>
      </c>
      <c r="D141" s="32">
        <v>107</v>
      </c>
      <c r="E141" s="34">
        <v>0.28700940000000003</v>
      </c>
      <c r="F141" s="35">
        <v>17332</v>
      </c>
      <c r="I141" s="23">
        <f t="shared" si="2"/>
        <v>0</v>
      </c>
    </row>
    <row r="142" spans="1:9">
      <c r="A142" s="10">
        <v>44919</v>
      </c>
      <c r="B142" s="28">
        <v>-15.430628453770781</v>
      </c>
      <c r="C142" s="31">
        <v>30.915254237288138</v>
      </c>
      <c r="D142" s="32">
        <v>66</v>
      </c>
      <c r="E142" s="34">
        <v>0.27939993000000002</v>
      </c>
      <c r="F142" s="35">
        <v>18731</v>
      </c>
      <c r="I142" s="23">
        <f t="shared" si="2"/>
        <v>0</v>
      </c>
    </row>
    <row r="143" spans="1:9">
      <c r="A143" s="10">
        <v>44920</v>
      </c>
      <c r="B143" s="28">
        <v>-16.400125186331788</v>
      </c>
      <c r="C143" s="31">
        <v>30.915254237288138</v>
      </c>
      <c r="D143" s="32">
        <v>145</v>
      </c>
      <c r="E143" s="34">
        <v>0.31804843999999999</v>
      </c>
      <c r="F143" s="35">
        <v>15403</v>
      </c>
      <c r="I143" s="23">
        <f t="shared" si="2"/>
        <v>0</v>
      </c>
    </row>
    <row r="144" spans="1:9">
      <c r="A144" s="10">
        <v>44921</v>
      </c>
      <c r="B144" s="28">
        <v>-8.7172418530012301</v>
      </c>
      <c r="C144" s="31">
        <v>30.915254237288138</v>
      </c>
      <c r="D144" s="32">
        <v>167</v>
      </c>
      <c r="E144" s="34">
        <v>0.32898264999999999</v>
      </c>
      <c r="F144" s="35">
        <v>8428</v>
      </c>
      <c r="I144" s="23">
        <f t="shared" si="2"/>
        <v>0</v>
      </c>
    </row>
    <row r="145" spans="1:9">
      <c r="A145" s="10">
        <v>44922</v>
      </c>
      <c r="B145" s="28">
        <v>-14.279438556463331</v>
      </c>
      <c r="C145" s="31">
        <v>30.915254237288138</v>
      </c>
      <c r="D145" s="32">
        <v>237</v>
      </c>
      <c r="E145" s="34">
        <v>0.33889322</v>
      </c>
      <c r="F145" s="35">
        <v>22063</v>
      </c>
      <c r="I145" s="23">
        <f t="shared" si="2"/>
        <v>0</v>
      </c>
    </row>
    <row r="146" spans="1:9">
      <c r="A146" s="10">
        <v>44923</v>
      </c>
      <c r="B146" s="28">
        <v>-13.904342858795626</v>
      </c>
      <c r="C146" s="31">
        <v>30.915254237288138</v>
      </c>
      <c r="D146" s="32">
        <v>275</v>
      </c>
      <c r="E146" s="34">
        <v>0.33662323</v>
      </c>
      <c r="F146" s="35">
        <v>20243</v>
      </c>
      <c r="I146" s="23">
        <f t="shared" si="2"/>
        <v>0</v>
      </c>
    </row>
    <row r="147" spans="1:9">
      <c r="A147" s="10">
        <v>44924</v>
      </c>
      <c r="B147" s="28">
        <v>-22.549351790363755</v>
      </c>
      <c r="C147" s="31">
        <v>30.915254237288138</v>
      </c>
      <c r="D147" s="32">
        <v>257</v>
      </c>
      <c r="E147" s="34">
        <v>0.33462424000000002</v>
      </c>
      <c r="F147" s="35">
        <v>18372</v>
      </c>
      <c r="I147" s="23">
        <f t="shared" si="2"/>
        <v>0</v>
      </c>
    </row>
    <row r="148" spans="1:9">
      <c r="A148" s="10">
        <v>44925</v>
      </c>
      <c r="B148" s="28">
        <v>-31.539368164362212</v>
      </c>
      <c r="C148" s="31">
        <v>30.915254237288138</v>
      </c>
      <c r="D148" s="32">
        <v>109</v>
      </c>
      <c r="E148" s="34">
        <v>0.35894380999999997</v>
      </c>
      <c r="F148" s="35">
        <v>14525</v>
      </c>
      <c r="I148" s="23">
        <f t="shared" si="2"/>
        <v>0</v>
      </c>
    </row>
    <row r="149" spans="1:9">
      <c r="A149" s="10">
        <v>44926</v>
      </c>
      <c r="B149" s="28">
        <v>-58.127969840764806</v>
      </c>
      <c r="C149" s="31">
        <v>30.915254237288138</v>
      </c>
      <c r="D149" s="32">
        <v>50</v>
      </c>
      <c r="E149" s="34">
        <v>0.36642475000000002</v>
      </c>
      <c r="F149" s="35">
        <v>11189</v>
      </c>
      <c r="I149" s="23">
        <f t="shared" si="2"/>
        <v>0</v>
      </c>
    </row>
    <row r="150" spans="1:9">
      <c r="A150" s="10">
        <v>44927</v>
      </c>
      <c r="B150" s="28">
        <v>-70.739060324318928</v>
      </c>
      <c r="C150" s="31">
        <v>30.915254237288138</v>
      </c>
      <c r="D150" s="32">
        <v>77</v>
      </c>
      <c r="E150" s="34">
        <v>0.36759932000000001</v>
      </c>
      <c r="F150" s="35">
        <v>9186</v>
      </c>
      <c r="I150" s="23">
        <f t="shared" si="2"/>
        <v>0</v>
      </c>
    </row>
    <row r="151" spans="1:9">
      <c r="A151" s="10">
        <v>44928</v>
      </c>
      <c r="B151" s="28">
        <v>-29.098417676334819</v>
      </c>
      <c r="C151" s="31">
        <v>30.915254237288138</v>
      </c>
      <c r="D151" s="32">
        <v>75</v>
      </c>
      <c r="E151" s="34">
        <v>0.38624588999999998</v>
      </c>
      <c r="F151" s="35">
        <v>7537</v>
      </c>
      <c r="I151" s="23">
        <f t="shared" si="2"/>
        <v>0</v>
      </c>
    </row>
    <row r="152" spans="1:9">
      <c r="A152" s="10">
        <v>44929</v>
      </c>
      <c r="B152" s="28">
        <v>-27.932912014808814</v>
      </c>
      <c r="C152" s="31">
        <v>30.915254237288138</v>
      </c>
      <c r="D152" s="32">
        <v>62</v>
      </c>
      <c r="E152" s="34">
        <v>0.40424354000000001</v>
      </c>
      <c r="F152" s="35">
        <v>9628</v>
      </c>
      <c r="I152" s="23">
        <f t="shared" si="2"/>
        <v>0</v>
      </c>
    </row>
    <row r="153" spans="1:9">
      <c r="A153" s="10">
        <v>44930</v>
      </c>
      <c r="B153" s="28">
        <v>-29.528195874260319</v>
      </c>
      <c r="C153" s="31">
        <v>30.915254237288138</v>
      </c>
      <c r="D153" s="32">
        <v>62</v>
      </c>
      <c r="E153" s="34">
        <v>0.42106038000000001</v>
      </c>
      <c r="F153" s="35">
        <v>10554</v>
      </c>
      <c r="I153" s="23">
        <f t="shared" si="2"/>
        <v>0</v>
      </c>
    </row>
    <row r="154" spans="1:9">
      <c r="A154" s="10">
        <v>44931</v>
      </c>
      <c r="B154" s="28">
        <v>-27.850317801654366</v>
      </c>
      <c r="C154" s="31">
        <v>30.915254237288138</v>
      </c>
      <c r="D154" s="32">
        <v>73</v>
      </c>
      <c r="E154" s="34">
        <v>0.43807506000000002</v>
      </c>
      <c r="F154" s="35">
        <v>20735</v>
      </c>
      <c r="I154" s="23">
        <f t="shared" si="2"/>
        <v>0</v>
      </c>
    </row>
    <row r="155" spans="1:9">
      <c r="A155" s="10">
        <v>44932</v>
      </c>
      <c r="B155" s="28">
        <v>-28.322203852017264</v>
      </c>
      <c r="C155" s="31">
        <v>30.915254237288138</v>
      </c>
      <c r="D155" s="32">
        <v>180</v>
      </c>
      <c r="E155" s="34">
        <v>0.45197870000000001</v>
      </c>
      <c r="F155" s="35">
        <v>20720</v>
      </c>
      <c r="I155" s="23">
        <f t="shared" si="2"/>
        <v>0</v>
      </c>
    </row>
    <row r="156" spans="1:9">
      <c r="A156" s="10">
        <v>44933</v>
      </c>
      <c r="B156" s="28">
        <v>-19.490785258911902</v>
      </c>
      <c r="C156" s="31">
        <v>30.915254237288138</v>
      </c>
      <c r="D156" s="32">
        <v>85</v>
      </c>
      <c r="E156" s="34">
        <v>0.47849264000000002</v>
      </c>
      <c r="F156" s="35">
        <v>19630</v>
      </c>
      <c r="I156" s="23">
        <f t="shared" si="2"/>
        <v>0</v>
      </c>
    </row>
    <row r="157" spans="1:9">
      <c r="A157" s="10">
        <v>44934</v>
      </c>
      <c r="B157" s="28">
        <v>-22.822698098423139</v>
      </c>
      <c r="C157" s="31">
        <v>30.915254237288138</v>
      </c>
      <c r="D157" s="32">
        <v>68.795000000000002</v>
      </c>
      <c r="E157" s="34">
        <v>0.48086688999999999</v>
      </c>
      <c r="F157" s="35">
        <v>15124</v>
      </c>
      <c r="I157" s="23">
        <f t="shared" si="2"/>
        <v>0</v>
      </c>
    </row>
    <row r="158" spans="1:9">
      <c r="A158" s="10">
        <v>44935</v>
      </c>
      <c r="B158" s="28">
        <v>-24.738893406869092</v>
      </c>
      <c r="C158" s="31">
        <v>30.915254237288138</v>
      </c>
      <c r="D158" s="32">
        <v>60.17</v>
      </c>
      <c r="E158" s="34">
        <v>0.48176353</v>
      </c>
      <c r="F158" s="35">
        <v>8199</v>
      </c>
      <c r="I158" s="23">
        <f t="shared" si="2"/>
        <v>0</v>
      </c>
    </row>
    <row r="159" spans="1:9">
      <c r="A159" s="10">
        <v>44936</v>
      </c>
      <c r="B159" s="28">
        <v>-25.719001272632614</v>
      </c>
      <c r="C159" s="31">
        <v>30.915254237288138</v>
      </c>
      <c r="D159" s="32">
        <v>33.744999999999997</v>
      </c>
      <c r="E159" s="34">
        <v>0.49470186999999999</v>
      </c>
      <c r="F159" s="21">
        <v>0</v>
      </c>
      <c r="I159" s="23">
        <f t="shared" si="2"/>
        <v>0</v>
      </c>
    </row>
    <row r="160" spans="1:9">
      <c r="A160" s="10">
        <v>44937</v>
      </c>
      <c r="B160" s="28">
        <v>-26.50376312951413</v>
      </c>
      <c r="C160" s="31">
        <v>30.915254237288138</v>
      </c>
      <c r="D160" s="32">
        <v>35</v>
      </c>
      <c r="E160" s="34">
        <v>0.50780809999999998</v>
      </c>
      <c r="F160" s="21">
        <v>0</v>
      </c>
      <c r="I160" s="23">
        <f t="shared" si="2"/>
        <v>0</v>
      </c>
    </row>
    <row r="161" spans="1:9">
      <c r="A161" s="10">
        <v>44938</v>
      </c>
      <c r="B161" s="28">
        <v>-28.363124233388447</v>
      </c>
      <c r="C161" s="31">
        <v>30.915254237288138</v>
      </c>
      <c r="D161" s="32">
        <v>39.298999999999999</v>
      </c>
      <c r="E161" s="34">
        <v>0.51099574000000003</v>
      </c>
      <c r="F161" s="21">
        <v>0</v>
      </c>
      <c r="I161" s="23">
        <f t="shared" si="2"/>
        <v>0</v>
      </c>
    </row>
    <row r="162" spans="1:9">
      <c r="A162" s="10">
        <v>44939</v>
      </c>
      <c r="B162" s="28">
        <v>-29.107643978921327</v>
      </c>
      <c r="C162" s="31">
        <v>30.915254237288138</v>
      </c>
      <c r="D162" s="32">
        <v>150</v>
      </c>
      <c r="E162" s="34">
        <v>0.51403843000000005</v>
      </c>
      <c r="F162" s="21">
        <v>0</v>
      </c>
      <c r="I162" s="23">
        <f t="shared" si="2"/>
        <v>0</v>
      </c>
    </row>
    <row r="163" spans="1:9">
      <c r="A163" s="10">
        <v>44940</v>
      </c>
      <c r="B163" s="28">
        <v>-21.107774849985326</v>
      </c>
      <c r="C163" s="31">
        <v>30.915254237288138</v>
      </c>
      <c r="D163" s="32">
        <v>80</v>
      </c>
      <c r="E163" s="34">
        <v>0.51725328999999998</v>
      </c>
      <c r="F163" s="21">
        <v>0</v>
      </c>
      <c r="I163" s="23">
        <f t="shared" si="2"/>
        <v>0</v>
      </c>
    </row>
    <row r="164" spans="1:9">
      <c r="A164" s="10">
        <v>44941</v>
      </c>
      <c r="B164" s="28">
        <v>-24.392009160218553</v>
      </c>
      <c r="C164" s="31">
        <v>30.915254237288138</v>
      </c>
      <c r="D164" s="32">
        <v>47.914999999999999</v>
      </c>
      <c r="E164" s="34">
        <v>0.52069692999999995</v>
      </c>
      <c r="F164" s="21">
        <v>0</v>
      </c>
      <c r="I164" s="23">
        <f t="shared" si="2"/>
        <v>0</v>
      </c>
    </row>
    <row r="165" spans="1:9">
      <c r="A165" s="10">
        <v>44942</v>
      </c>
      <c r="B165" s="28">
        <v>-25.850657363076291</v>
      </c>
      <c r="C165" s="31">
        <v>30.915254237288138</v>
      </c>
      <c r="D165" s="32">
        <v>45</v>
      </c>
      <c r="E165" s="34">
        <v>0.52402287999999997</v>
      </c>
      <c r="F165" s="21">
        <v>0</v>
      </c>
      <c r="I165" s="23">
        <f t="shared" si="2"/>
        <v>0</v>
      </c>
    </row>
    <row r="166" spans="1:9">
      <c r="A166" s="10">
        <v>44943</v>
      </c>
      <c r="B166" s="28">
        <v>-26.006247469196509</v>
      </c>
      <c r="C166" s="31">
        <v>30.915254237288138</v>
      </c>
      <c r="D166" s="32">
        <v>40</v>
      </c>
      <c r="E166" s="34">
        <v>0.52732519</v>
      </c>
      <c r="F166" s="21">
        <v>0</v>
      </c>
      <c r="I166" s="23">
        <f t="shared" si="2"/>
        <v>0</v>
      </c>
    </row>
    <row r="167" spans="1:9">
      <c r="A167" s="10">
        <v>44944</v>
      </c>
      <c r="B167" s="28">
        <v>-28.129397470956885</v>
      </c>
      <c r="C167" s="31">
        <v>30.915254237288138</v>
      </c>
      <c r="D167" s="32">
        <v>45</v>
      </c>
      <c r="E167" s="34">
        <v>0.53051035000000002</v>
      </c>
      <c r="F167" s="21">
        <v>0</v>
      </c>
      <c r="I167" s="23">
        <f t="shared" si="2"/>
        <v>0</v>
      </c>
    </row>
    <row r="168" spans="1:9">
      <c r="A168" s="10">
        <v>44945</v>
      </c>
      <c r="B168" s="28">
        <v>-27.450193927306891</v>
      </c>
      <c r="C168" s="31">
        <v>30.915254237288138</v>
      </c>
      <c r="D168" s="32">
        <v>45.698</v>
      </c>
      <c r="E168" s="34">
        <v>0.53354254999999995</v>
      </c>
      <c r="F168" s="21">
        <v>0</v>
      </c>
      <c r="I168" s="23">
        <f t="shared" si="2"/>
        <v>0</v>
      </c>
    </row>
    <row r="169" spans="1:9">
      <c r="A169" s="10">
        <v>44946</v>
      </c>
      <c r="B169" s="28">
        <v>-26.185089683253853</v>
      </c>
      <c r="C169" s="31">
        <v>30.915254237288138</v>
      </c>
      <c r="D169" s="32">
        <v>120</v>
      </c>
      <c r="E169" s="34">
        <v>0.53624236999999997</v>
      </c>
      <c r="F169" s="21">
        <v>0</v>
      </c>
      <c r="I169" s="23">
        <f t="shared" si="2"/>
        <v>0</v>
      </c>
    </row>
    <row r="170" spans="1:9">
      <c r="A170" s="10">
        <v>44947</v>
      </c>
      <c r="B170" s="28">
        <v>-19.034223951146107</v>
      </c>
      <c r="C170" s="31">
        <v>30.915254237288138</v>
      </c>
      <c r="D170" s="32">
        <v>45</v>
      </c>
      <c r="E170" s="34">
        <v>0.53873130999999996</v>
      </c>
      <c r="F170" s="21">
        <v>0</v>
      </c>
      <c r="I170" s="23">
        <f t="shared" si="2"/>
        <v>0</v>
      </c>
    </row>
    <row r="171" spans="1:9">
      <c r="A171" s="10">
        <v>44948</v>
      </c>
      <c r="B171" s="28">
        <v>-21.27349607513144</v>
      </c>
      <c r="C171" s="31">
        <v>30.915254237288138</v>
      </c>
      <c r="D171" s="32">
        <v>50.851999999999997</v>
      </c>
      <c r="E171" s="34">
        <v>0.54118643</v>
      </c>
      <c r="F171" s="21">
        <v>0</v>
      </c>
      <c r="I171" s="23">
        <f t="shared" si="2"/>
        <v>0</v>
      </c>
    </row>
    <row r="172" spans="1:9">
      <c r="A172" s="10">
        <v>44949</v>
      </c>
      <c r="B172" s="28">
        <v>-25.06060930288438</v>
      </c>
      <c r="C172" s="31">
        <v>30.915254237288138</v>
      </c>
      <c r="D172" s="32">
        <v>45</v>
      </c>
      <c r="E172" s="34">
        <v>0.54338628</v>
      </c>
      <c r="F172" s="21">
        <v>0</v>
      </c>
      <c r="I172" s="23">
        <f t="shared" si="2"/>
        <v>0</v>
      </c>
    </row>
    <row r="173" spans="1:9">
      <c r="A173" s="10">
        <v>44950</v>
      </c>
      <c r="B173" s="28">
        <v>-24.232624226297219</v>
      </c>
      <c r="C173" s="31">
        <v>30.915254237288138</v>
      </c>
      <c r="D173" s="32">
        <v>40</v>
      </c>
      <c r="E173" s="34">
        <v>0.54539727999999998</v>
      </c>
      <c r="F173" s="21">
        <v>0</v>
      </c>
      <c r="I173" s="23">
        <f t="shared" si="2"/>
        <v>0</v>
      </c>
    </row>
    <row r="174" spans="1:9">
      <c r="A174" s="10">
        <v>44951</v>
      </c>
      <c r="B174" s="28">
        <v>-25.141598347169026</v>
      </c>
      <c r="C174" s="31">
        <v>30.915254237288138</v>
      </c>
      <c r="D174" s="32">
        <v>45</v>
      </c>
      <c r="E174" s="34">
        <v>0.54725391999999995</v>
      </c>
      <c r="F174" s="21">
        <v>0</v>
      </c>
      <c r="I174" s="23">
        <f t="shared" si="2"/>
        <v>0</v>
      </c>
    </row>
    <row r="175" spans="1:9">
      <c r="A175" s="10">
        <v>44952</v>
      </c>
      <c r="B175" s="28">
        <v>-23.554269233456225</v>
      </c>
      <c r="C175" s="31">
        <v>30.915254237288138</v>
      </c>
      <c r="D175" s="32">
        <v>45.698</v>
      </c>
      <c r="E175" s="34">
        <v>0.54901906</v>
      </c>
      <c r="F175" s="21">
        <v>0</v>
      </c>
      <c r="I175" s="23">
        <f t="shared" si="2"/>
        <v>0</v>
      </c>
    </row>
    <row r="176" spans="1:9">
      <c r="A176" s="10">
        <v>44953</v>
      </c>
      <c r="B176" s="28">
        <v>-22.293024505679906</v>
      </c>
      <c r="C176" s="31">
        <v>30.915254237288138</v>
      </c>
      <c r="D176" s="32">
        <v>100</v>
      </c>
      <c r="E176" s="34">
        <v>0.55053240000000003</v>
      </c>
      <c r="F176" s="21">
        <v>0</v>
      </c>
      <c r="I176" s="23">
        <f t="shared" si="2"/>
        <v>0</v>
      </c>
    </row>
    <row r="177" spans="1:9">
      <c r="A177" s="10">
        <v>44954</v>
      </c>
      <c r="B177" s="28">
        <v>-15.763287459959663</v>
      </c>
      <c r="C177" s="31">
        <v>30.915254237288138</v>
      </c>
      <c r="D177" s="32">
        <v>80</v>
      </c>
      <c r="E177" s="34">
        <v>0.55197353000000005</v>
      </c>
      <c r="F177" s="21">
        <v>0</v>
      </c>
      <c r="I177" s="23">
        <f t="shared" si="2"/>
        <v>0</v>
      </c>
    </row>
    <row r="178" spans="1:9">
      <c r="A178" s="10">
        <v>44955</v>
      </c>
      <c r="B178" s="28">
        <v>-20.127832394133762</v>
      </c>
      <c r="C178" s="31">
        <v>30.915254237288138</v>
      </c>
      <c r="D178" s="32">
        <v>50</v>
      </c>
      <c r="E178" s="34">
        <v>0.55345361000000004</v>
      </c>
      <c r="F178" s="21">
        <v>0</v>
      </c>
      <c r="I178" s="23">
        <f t="shared" si="2"/>
        <v>0</v>
      </c>
    </row>
    <row r="179" spans="1:9">
      <c r="A179" s="10">
        <v>44956</v>
      </c>
      <c r="B179" s="28">
        <v>-21.978600232760172</v>
      </c>
      <c r="C179" s="31">
        <v>30.915254237288138</v>
      </c>
      <c r="D179" s="32">
        <v>40</v>
      </c>
      <c r="E179" s="34">
        <v>0.55475074999999996</v>
      </c>
      <c r="F179" s="21">
        <v>0</v>
      </c>
      <c r="I179" s="23">
        <f t="shared" si="2"/>
        <v>0</v>
      </c>
    </row>
    <row r="180" spans="1:9">
      <c r="A180" s="10">
        <v>44957</v>
      </c>
      <c r="B180" s="28">
        <v>-22.642303465031528</v>
      </c>
      <c r="C180" s="31">
        <v>30.915254237288138</v>
      </c>
      <c r="D180" s="32">
        <v>45</v>
      </c>
      <c r="E180" s="34">
        <v>0.55592244999999996</v>
      </c>
      <c r="F180" s="21">
        <v>0</v>
      </c>
      <c r="I180" s="23">
        <f t="shared" si="2"/>
        <v>0</v>
      </c>
    </row>
    <row r="181" spans="1:9">
      <c r="A181" s="10">
        <v>44958</v>
      </c>
      <c r="B181" s="28">
        <v>-26.532700904244521</v>
      </c>
      <c r="C181" s="31">
        <v>30.915254237288138</v>
      </c>
      <c r="D181" s="32">
        <v>56.691000000000003</v>
      </c>
      <c r="E181" s="34">
        <v>0.55697721</v>
      </c>
      <c r="F181" s="21">
        <v>0</v>
      </c>
      <c r="I181" s="23">
        <f t="shared" si="2"/>
        <v>0</v>
      </c>
    </row>
    <row r="182" spans="1:9">
      <c r="A182" s="10">
        <v>44959</v>
      </c>
      <c r="B182" s="28">
        <v>-26.006765819438886</v>
      </c>
      <c r="C182" s="31">
        <v>30.915254237288138</v>
      </c>
      <c r="D182" s="32">
        <v>55.698999999999998</v>
      </c>
      <c r="E182" s="34">
        <v>0.55792746000000004</v>
      </c>
      <c r="F182" s="21">
        <v>0</v>
      </c>
      <c r="I182" s="23">
        <f t="shared" si="2"/>
        <v>0</v>
      </c>
    </row>
    <row r="183" spans="1:9">
      <c r="A183" s="10">
        <v>44960</v>
      </c>
      <c r="B183" s="28">
        <v>-26.082090741872161</v>
      </c>
      <c r="C183" s="31">
        <v>30.915254237288138</v>
      </c>
      <c r="D183" s="32">
        <v>55.698999999999998</v>
      </c>
      <c r="E183" s="34">
        <v>0.55867688999999998</v>
      </c>
      <c r="F183" s="21">
        <v>0</v>
      </c>
      <c r="I183" s="23">
        <f t="shared" si="2"/>
        <v>0</v>
      </c>
    </row>
    <row r="184" spans="1:9">
      <c r="A184" s="10">
        <v>44961</v>
      </c>
      <c r="B184" s="28">
        <v>-24.359042403731479</v>
      </c>
      <c r="C184" s="31">
        <v>30.915254237288138</v>
      </c>
      <c r="D184" s="32">
        <v>91.2</v>
      </c>
      <c r="E184" s="34">
        <v>0.55936554000000005</v>
      </c>
      <c r="F184" s="21">
        <v>0</v>
      </c>
      <c r="I184" s="23">
        <f t="shared" si="2"/>
        <v>0</v>
      </c>
    </row>
    <row r="185" spans="1:9">
      <c r="A185" s="10">
        <v>44962</v>
      </c>
      <c r="B185" s="28">
        <v>-16.63042938736584</v>
      </c>
      <c r="C185" s="31">
        <v>30.915254237288138</v>
      </c>
      <c r="D185" s="32">
        <v>38.4</v>
      </c>
      <c r="E185" s="34">
        <v>0.56009171000000002</v>
      </c>
      <c r="F185" s="21">
        <v>0</v>
      </c>
      <c r="I185" s="23">
        <f t="shared" si="2"/>
        <v>0</v>
      </c>
    </row>
    <row r="186" spans="1:9">
      <c r="A186" s="10">
        <v>44963</v>
      </c>
      <c r="B186" s="28">
        <v>-22.055833958080527</v>
      </c>
      <c r="C186" s="31">
        <v>30.915254237288138</v>
      </c>
      <c r="D186" s="32">
        <v>34.199999999999996</v>
      </c>
      <c r="E186" s="34">
        <v>0.56069729000000001</v>
      </c>
      <c r="F186" s="21">
        <v>0</v>
      </c>
      <c r="I186" s="23">
        <f t="shared" si="2"/>
        <v>0</v>
      </c>
    </row>
    <row r="187" spans="1:9">
      <c r="A187" s="10">
        <v>44964</v>
      </c>
      <c r="B187" s="28">
        <v>-22.684857118065597</v>
      </c>
      <c r="C187" s="31">
        <v>30.915254237288138</v>
      </c>
      <c r="D187" s="32">
        <v>42</v>
      </c>
      <c r="E187" s="34">
        <v>0.56120493999999999</v>
      </c>
      <c r="F187" s="21">
        <v>0</v>
      </c>
      <c r="I187" s="23">
        <f t="shared" si="2"/>
        <v>0</v>
      </c>
    </row>
    <row r="188" spans="1:9">
      <c r="A188" s="10">
        <v>44965</v>
      </c>
      <c r="B188" s="28">
        <v>-23.869137184204781</v>
      </c>
      <c r="C188" s="31">
        <v>30.915254237288138</v>
      </c>
      <c r="D188" s="32">
        <v>36.6</v>
      </c>
      <c r="E188" s="34">
        <v>0.56163859999999999</v>
      </c>
      <c r="F188" s="21">
        <v>0</v>
      </c>
      <c r="I188" s="23">
        <f t="shared" si="2"/>
        <v>0</v>
      </c>
    </row>
    <row r="189" spans="1:9">
      <c r="A189" s="10">
        <v>44966</v>
      </c>
      <c r="B189" s="28">
        <v>-24.36344955995758</v>
      </c>
      <c r="C189" s="31">
        <v>30.915254237288138</v>
      </c>
      <c r="D189" s="32">
        <v>46.199999999999996</v>
      </c>
      <c r="E189" s="34">
        <v>0.56200726000000001</v>
      </c>
      <c r="F189" s="21">
        <v>0</v>
      </c>
      <c r="I189" s="23">
        <f t="shared" si="2"/>
        <v>0</v>
      </c>
    </row>
    <row r="190" spans="1:9">
      <c r="A190" s="10">
        <v>44967</v>
      </c>
      <c r="B190" s="28">
        <v>-22.46339893903933</v>
      </c>
      <c r="C190" s="31">
        <v>30.915254237288138</v>
      </c>
      <c r="D190" s="32">
        <v>83.399999999999991</v>
      </c>
      <c r="E190" s="34">
        <v>0.56224043999999995</v>
      </c>
      <c r="F190" s="21">
        <v>0</v>
      </c>
      <c r="I190" s="23">
        <f t="shared" si="2"/>
        <v>0</v>
      </c>
    </row>
    <row r="191" spans="1:9">
      <c r="A191" s="10">
        <v>44968</v>
      </c>
      <c r="B191" s="28">
        <v>-15.782136858339943</v>
      </c>
      <c r="C191" s="31">
        <v>30.915254237288138</v>
      </c>
      <c r="D191" s="32">
        <v>65.399999999999991</v>
      </c>
      <c r="E191" s="34">
        <v>0.56241850000000004</v>
      </c>
      <c r="F191" s="21">
        <v>0</v>
      </c>
      <c r="I191" s="23">
        <f t="shared" si="2"/>
        <v>0</v>
      </c>
    </row>
    <row r="192" spans="1:9">
      <c r="A192" s="10">
        <v>44969</v>
      </c>
      <c r="B192" s="28">
        <v>-20.444698235028842</v>
      </c>
      <c r="C192" s="31">
        <v>30.915254237288138</v>
      </c>
      <c r="D192" s="32">
        <v>38.4</v>
      </c>
      <c r="E192" s="34">
        <v>0.56262723000000003</v>
      </c>
      <c r="F192" s="21">
        <v>0</v>
      </c>
      <c r="I192" s="23">
        <f t="shared" si="2"/>
        <v>0</v>
      </c>
    </row>
    <row r="193" spans="1:9">
      <c r="A193" s="10">
        <v>44970</v>
      </c>
      <c r="B193" s="28">
        <v>-21.978600232760172</v>
      </c>
      <c r="C193" s="31">
        <v>30.915254237288138</v>
      </c>
      <c r="D193" s="32">
        <v>46.199999999999996</v>
      </c>
      <c r="E193" s="34">
        <v>0.56279504999999996</v>
      </c>
      <c r="F193" s="21">
        <v>0</v>
      </c>
      <c r="I193" s="23">
        <f t="shared" si="2"/>
        <v>0</v>
      </c>
    </row>
    <row r="194" spans="1:9">
      <c r="A194" s="10">
        <v>44971</v>
      </c>
      <c r="B194" s="28">
        <v>-22.642303465031528</v>
      </c>
      <c r="C194" s="31">
        <v>30.915254237288138</v>
      </c>
      <c r="D194" s="32">
        <v>39</v>
      </c>
      <c r="E194" s="34">
        <v>0.56285037999999998</v>
      </c>
      <c r="F194" s="21">
        <v>0</v>
      </c>
      <c r="I194" s="23">
        <f t="shared" si="2"/>
        <v>0</v>
      </c>
    </row>
    <row r="195" spans="1:9">
      <c r="A195" s="10">
        <v>44972</v>
      </c>
      <c r="B195" s="28">
        <v>-26.532700904244521</v>
      </c>
      <c r="C195" s="31">
        <v>30.915254237288138</v>
      </c>
      <c r="D195" s="32">
        <v>37.199999999999996</v>
      </c>
      <c r="E195" s="34">
        <v>0.56285180999999995</v>
      </c>
      <c r="F195" s="21">
        <v>0</v>
      </c>
      <c r="I195" s="23">
        <f t="shared" si="2"/>
        <v>0</v>
      </c>
    </row>
    <row r="196" spans="1:9">
      <c r="A196" s="10">
        <v>44973</v>
      </c>
      <c r="B196" s="28">
        <v>-26.006765819438886</v>
      </c>
      <c r="C196" s="31">
        <v>30.915254237288138</v>
      </c>
      <c r="D196" s="32">
        <v>55.8</v>
      </c>
      <c r="E196" s="34">
        <v>0.56278512000000003</v>
      </c>
      <c r="F196" s="21">
        <v>0</v>
      </c>
      <c r="I196" s="23">
        <f t="shared" si="2"/>
        <v>0</v>
      </c>
    </row>
    <row r="197" spans="1:9">
      <c r="A197" s="10">
        <v>44974</v>
      </c>
      <c r="B197" s="28">
        <v>-26.082090741872161</v>
      </c>
      <c r="C197" s="31">
        <v>30.915254237288138</v>
      </c>
      <c r="D197" s="32">
        <v>64.8</v>
      </c>
      <c r="E197" s="34">
        <v>0.56274848</v>
      </c>
      <c r="F197" s="21">
        <v>0</v>
      </c>
      <c r="I197" s="23">
        <f t="shared" ref="I197:I208" si="3">C197-C196</f>
        <v>0</v>
      </c>
    </row>
    <row r="198" spans="1:9">
      <c r="A198" s="10">
        <v>44975</v>
      </c>
      <c r="B198" s="28">
        <v>-15.981401926931458</v>
      </c>
      <c r="C198" s="31">
        <v>30.915254237288138</v>
      </c>
      <c r="D198" s="32">
        <v>52.199999999999996</v>
      </c>
      <c r="E198" s="34">
        <v>0.56256081000000002</v>
      </c>
      <c r="F198" s="21">
        <v>0</v>
      </c>
      <c r="I198" s="23">
        <f t="shared" si="3"/>
        <v>0</v>
      </c>
    </row>
    <row r="199" spans="1:9">
      <c r="A199" s="10">
        <v>44976</v>
      </c>
      <c r="B199" s="28">
        <v>-12.568912699197208</v>
      </c>
      <c r="C199" s="31">
        <v>30.915254237288138</v>
      </c>
      <c r="D199" s="32">
        <v>43.8</v>
      </c>
      <c r="E199" s="34">
        <v>0.56237806999999995</v>
      </c>
      <c r="F199" s="21">
        <v>0</v>
      </c>
      <c r="I199" s="23">
        <f t="shared" si="3"/>
        <v>0</v>
      </c>
    </row>
    <row r="200" spans="1:9">
      <c r="A200" s="10">
        <v>44977</v>
      </c>
      <c r="B200" s="28">
        <v>-34.041449131093202</v>
      </c>
      <c r="C200" s="31">
        <v>30.915254237288138</v>
      </c>
      <c r="D200" s="32">
        <v>40.799999999999997</v>
      </c>
      <c r="E200" s="34">
        <v>0.56212143000000003</v>
      </c>
      <c r="F200" s="21">
        <v>0</v>
      </c>
      <c r="I200" s="23">
        <f t="shared" si="3"/>
        <v>0</v>
      </c>
    </row>
    <row r="201" spans="1:9">
      <c r="A201" s="10">
        <v>44978</v>
      </c>
      <c r="B201" s="28">
        <v>-23.239609243940535</v>
      </c>
      <c r="C201" s="31">
        <v>30.915254237288138</v>
      </c>
      <c r="D201" s="32">
        <v>42.6</v>
      </c>
      <c r="E201" s="34">
        <v>0.56183731000000003</v>
      </c>
      <c r="F201" s="21">
        <v>0</v>
      </c>
      <c r="I201" s="23">
        <f t="shared" si="3"/>
        <v>0</v>
      </c>
    </row>
    <row r="202" spans="1:9">
      <c r="A202" s="10">
        <v>44979</v>
      </c>
      <c r="B202" s="28">
        <v>-25.175237204436847</v>
      </c>
      <c r="C202" s="31">
        <v>30.915254237288138</v>
      </c>
      <c r="D202" s="32">
        <v>35.4</v>
      </c>
      <c r="E202" s="34">
        <v>0.56151487</v>
      </c>
      <c r="F202" s="21">
        <v>0</v>
      </c>
      <c r="I202" s="23">
        <f t="shared" si="3"/>
        <v>0</v>
      </c>
    </row>
    <row r="203" spans="1:9">
      <c r="A203" s="10">
        <v>44980</v>
      </c>
      <c r="B203" s="28">
        <v>-25.778098779017412</v>
      </c>
      <c r="C203" s="31">
        <v>30.915254237288138</v>
      </c>
      <c r="D203" s="32">
        <v>48</v>
      </c>
      <c r="E203" s="34">
        <v>0.56116116999999999</v>
      </c>
      <c r="F203" s="21">
        <v>0</v>
      </c>
      <c r="I203" s="23">
        <f t="shared" si="3"/>
        <v>0</v>
      </c>
    </row>
    <row r="204" spans="1:9">
      <c r="A204" s="10">
        <v>44981</v>
      </c>
      <c r="B204" s="28">
        <v>-23.937559087753407</v>
      </c>
      <c r="C204" s="31">
        <v>30.915254237288138</v>
      </c>
      <c r="D204" s="32">
        <v>72.599999999999994</v>
      </c>
      <c r="E204" s="34">
        <v>0.56067582999999999</v>
      </c>
      <c r="F204" s="21">
        <v>0</v>
      </c>
      <c r="I204" s="23">
        <f t="shared" si="3"/>
        <v>0</v>
      </c>
    </row>
    <row r="205" spans="1:9">
      <c r="A205" s="10">
        <v>44982</v>
      </c>
      <c r="B205" s="28">
        <v>-17.52915998026862</v>
      </c>
      <c r="C205" s="31">
        <v>30.915254237288138</v>
      </c>
      <c r="D205" s="32">
        <v>56.4</v>
      </c>
      <c r="E205" s="34">
        <v>0.56022148999999999</v>
      </c>
      <c r="F205" s="21">
        <v>0</v>
      </c>
      <c r="I205" s="23">
        <f t="shared" si="3"/>
        <v>0</v>
      </c>
    </row>
    <row r="206" spans="1:9">
      <c r="A206" s="10">
        <v>44983</v>
      </c>
      <c r="B206" s="28">
        <v>-19.272774016407109</v>
      </c>
      <c r="C206" s="31">
        <v>30.915254237288138</v>
      </c>
      <c r="D206" s="32">
        <v>41.4</v>
      </c>
      <c r="E206" s="34">
        <v>0.55980114999999997</v>
      </c>
      <c r="F206" s="21">
        <v>0</v>
      </c>
      <c r="I206" s="23">
        <f t="shared" si="3"/>
        <v>0</v>
      </c>
    </row>
    <row r="207" spans="1:9">
      <c r="A207" s="10">
        <v>44984</v>
      </c>
      <c r="B207" s="28">
        <v>-23.961954995561342</v>
      </c>
      <c r="C207" s="31">
        <v>30.915254237288138</v>
      </c>
      <c r="D207" s="32">
        <v>26.4</v>
      </c>
      <c r="E207" s="34">
        <v>0.55938867999999997</v>
      </c>
      <c r="F207" s="21">
        <v>0</v>
      </c>
      <c r="I207" s="23">
        <f t="shared" si="3"/>
        <v>0</v>
      </c>
    </row>
    <row r="208" spans="1:9">
      <c r="A208" s="10">
        <v>44985</v>
      </c>
      <c r="B208" s="28">
        <v>-23.28924914675768</v>
      </c>
      <c r="C208" s="31">
        <v>30.915254237288138</v>
      </c>
      <c r="D208" s="32">
        <v>25.2</v>
      </c>
      <c r="E208" s="34">
        <v>0.55892993999999996</v>
      </c>
      <c r="F208" s="21">
        <v>0</v>
      </c>
      <c r="I208" s="23">
        <f t="shared" si="3"/>
        <v>0</v>
      </c>
    </row>
    <row r="209" spans="1:1">
      <c r="A209" s="10"/>
    </row>
    <row r="210" spans="1:1">
      <c r="A210" s="10"/>
    </row>
  </sheetData>
  <mergeCells count="1">
    <mergeCell ref="B1:F1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Past</vt:lpstr>
      <vt:lpstr>Training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</dc:creator>
  <cp:lastModifiedBy>matsumoto</cp:lastModifiedBy>
  <dcterms:created xsi:type="dcterms:W3CDTF">2022-08-23T10:03:53Z</dcterms:created>
  <dcterms:modified xsi:type="dcterms:W3CDTF">2023-01-18T10:55:46Z</dcterms:modified>
</cp:coreProperties>
</file>